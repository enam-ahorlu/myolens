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Weights" sheetId="2" state="visible" r:id="rId2"/>
    <sheet xmlns:r="http://schemas.openxmlformats.org/officeDocument/2006/relationships" name="1 FPA" sheetId="3" state="visible" r:id="rId3"/>
    <sheet xmlns:r="http://schemas.openxmlformats.org/officeDocument/2006/relationships" name="2 VAF" sheetId="4" state="visible" r:id="rId4"/>
    <sheet xmlns:r="http://schemas.openxmlformats.org/officeDocument/2006/relationships" name="3 COCOMO" sheetId="5" state="visible" r:id="rId5"/>
    <sheet xmlns:r="http://schemas.openxmlformats.org/officeDocument/2006/relationships" name="4 PERT" sheetId="6" state="visible" r:id="rId6"/>
    <sheet xmlns:r="http://schemas.openxmlformats.org/officeDocument/2006/relationships" name="5 Reconciliation"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4">
    <numFmt numFmtId="164" formatCode="0.000"/>
    <numFmt numFmtId="165" formatCode="0.0"/>
    <numFmt numFmtId="166" formatCode="0.0000%"/>
    <numFmt numFmtId="167" formatCode="0.0%"/>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i val="1"/>
      <color rgb="FF555555"/>
      <sz val="9"/>
    </font>
    <font>
      <name val="Arial"/>
      <charset val="1"/>
      <family val="0"/>
      <sz val="10"/>
    </font>
    <font>
      <name val="Arial"/>
      <charset val="1"/>
      <family val="0"/>
      <b val="1"/>
      <sz val="11"/>
    </font>
    <font>
      <name val="Arial"/>
      <charset val="1"/>
      <family val="0"/>
      <b val="1"/>
      <sz val="10"/>
    </font>
    <font>
      <name val="Arial"/>
      <charset val="1"/>
      <family val="0"/>
      <color rgb="FF0000FF"/>
      <sz val="10"/>
    </font>
    <font>
      <b val="1"/>
    </font>
  </fonts>
  <fills count="5">
    <fill>
      <patternFill/>
    </fill>
    <fill>
      <patternFill patternType="gray125"/>
    </fill>
    <fill>
      <patternFill patternType="solid">
        <fgColor rgb="FFFFFF00"/>
        <bgColor rgb="FFFFFF00"/>
      </patternFill>
    </fill>
    <fill>
      <patternFill patternType="solid">
        <fgColor rgb="FFDDE5EC"/>
        <bgColor rgb="FFEFEFEF"/>
      </patternFill>
    </fill>
    <fill>
      <patternFill patternType="solid">
        <fgColor rgb="FFEFEFEF"/>
        <bgColor rgb="FFDDE5EC"/>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3" borderId="1" applyAlignment="1" pivotButton="0" quotePrefix="0" xfId="0">
      <alignment horizontal="general" vertical="bottom"/>
    </xf>
    <xf numFmtId="0" fontId="6" fillId="0" borderId="1" applyAlignment="1" pivotButton="0" quotePrefix="0" xfId="0">
      <alignment horizontal="general" vertical="bottom"/>
    </xf>
    <xf numFmtId="0" fontId="5" fillId="0" borderId="0" applyAlignment="1" pivotButton="0" quotePrefix="0" xfId="0">
      <alignment horizontal="general" vertical="bottom"/>
    </xf>
    <xf numFmtId="0" fontId="4" fillId="0" borderId="0" applyAlignment="1" pivotButton="0" quotePrefix="0" xfId="0">
      <alignment horizontal="general" vertical="bottom"/>
    </xf>
    <xf numFmtId="0" fontId="9" fillId="0" borderId="1" applyAlignment="1" pivotButton="0" quotePrefix="0" xfId="0">
      <alignment horizontal="general" vertical="bottom"/>
    </xf>
    <xf numFmtId="0" fontId="8" fillId="0" borderId="1" applyAlignment="1" pivotButton="0" quotePrefix="0" xfId="0">
      <alignment horizontal="general" vertical="bottom"/>
    </xf>
    <xf numFmtId="0" fontId="5" fillId="0" borderId="1" applyAlignment="1" pivotButton="0" quotePrefix="0" xfId="0">
      <alignment horizontal="general" vertical="top" wrapText="1"/>
    </xf>
    <xf numFmtId="0" fontId="8" fillId="0" borderId="0" applyAlignment="1" pivotButton="0" quotePrefix="0" xfId="0">
      <alignment horizontal="general" vertical="bottom"/>
    </xf>
    <xf numFmtId="0" fontId="8" fillId="4" borderId="0" applyAlignment="1" pivotButton="0" quotePrefix="0" xfId="0">
      <alignment horizontal="general" vertical="bottom"/>
    </xf>
    <xf numFmtId="0" fontId="7" fillId="2" borderId="1" applyAlignment="1" pivotButton="0" quotePrefix="0" xfId="0">
      <alignment horizontal="general" vertical="bottom"/>
    </xf>
    <xf numFmtId="0" fontId="6" fillId="0" borderId="0" applyAlignment="1" pivotButton="0" quotePrefix="0" xfId="0">
      <alignment horizontal="general" vertical="bottom"/>
    </xf>
    <xf numFmtId="0" fontId="8" fillId="4" borderId="1" applyAlignment="1" pivotButton="0" quotePrefix="0" xfId="0">
      <alignment horizontal="general" vertical="bottom"/>
    </xf>
    <xf numFmtId="164" fontId="8" fillId="0" borderId="1" applyAlignment="1" pivotButton="0" quotePrefix="0" xfId="0">
      <alignment horizontal="general" vertical="bottom"/>
    </xf>
    <xf numFmtId="0" fontId="5" fillId="0" borderId="0" applyAlignment="1" pivotButton="0" quotePrefix="0" xfId="0">
      <alignment horizontal="general" vertical="top" wrapText="1"/>
    </xf>
    <xf numFmtId="2" fontId="6" fillId="0" borderId="1" applyAlignment="1" pivotButton="0" quotePrefix="0" xfId="0">
      <alignment horizontal="general" vertical="bottom"/>
    </xf>
    <xf numFmtId="9" fontId="9" fillId="0" borderId="1" applyAlignment="1" pivotButton="0" quotePrefix="0" xfId="0">
      <alignment horizontal="general" vertical="bottom"/>
    </xf>
    <xf numFmtId="9" fontId="6" fillId="0" borderId="1" applyAlignment="1" pivotButton="0" quotePrefix="0" xfId="0">
      <alignment horizontal="general" vertical="bottom"/>
    </xf>
    <xf numFmtId="2" fontId="9" fillId="2" borderId="1" applyAlignment="1" pivotButton="0" quotePrefix="0" xfId="0">
      <alignment horizontal="general" vertical="bottom"/>
    </xf>
    <xf numFmtId="164" fontId="8" fillId="2" borderId="1" applyAlignment="1" pivotButton="0" quotePrefix="0" xfId="0">
      <alignment horizontal="general" vertical="bottom"/>
    </xf>
    <xf numFmtId="2" fontId="8" fillId="2" borderId="1" applyAlignment="1" pivotButton="0" quotePrefix="0" xfId="0">
      <alignment horizontal="general" vertical="bottom"/>
    </xf>
    <xf numFmtId="3" fontId="6" fillId="2" borderId="1" applyAlignment="1" pivotButton="0" quotePrefix="0" xfId="0">
      <alignment horizontal="general" vertical="bottom"/>
    </xf>
    <xf numFmtId="1" fontId="9" fillId="0" borderId="1" applyAlignment="1" pivotButton="0" quotePrefix="0" xfId="0">
      <alignment horizontal="general" vertical="bottom"/>
    </xf>
    <xf numFmtId="165" fontId="6" fillId="0" borderId="1" applyAlignment="1" pivotButton="0" quotePrefix="0" xfId="0">
      <alignment horizontal="general" vertical="bottom"/>
    </xf>
    <xf numFmtId="2" fontId="9" fillId="0" borderId="1" applyAlignment="1" pivotButton="0" quotePrefix="0" xfId="0">
      <alignment horizontal="general" vertical="bottom"/>
    </xf>
    <xf numFmtId="164" fontId="6" fillId="0" borderId="1" applyAlignment="1" pivotButton="0" quotePrefix="0" xfId="0">
      <alignment horizontal="general" vertical="bottom"/>
    </xf>
    <xf numFmtId="0" fontId="0" fillId="0" borderId="1" applyAlignment="1" pivotButton="0" quotePrefix="0" xfId="0">
      <alignment horizontal="general" vertical="bottom"/>
    </xf>
    <xf numFmtId="0" fontId="5" fillId="0" borderId="1" applyAlignment="1" pivotButton="0" quotePrefix="0" xfId="0">
      <alignment horizontal="general" vertical="bottom"/>
    </xf>
    <xf numFmtId="2" fontId="7" fillId="2" borderId="0" applyAlignment="1" pivotButton="0" quotePrefix="0" xfId="0">
      <alignment horizontal="general" vertical="bottom"/>
    </xf>
    <xf numFmtId="164" fontId="8" fillId="0" borderId="0" applyAlignment="1" pivotButton="0" quotePrefix="0" xfId="0">
      <alignment horizontal="general" vertical="bottom"/>
    </xf>
    <xf numFmtId="2" fontId="6" fillId="0" borderId="0" applyAlignment="1" pivotButton="0" quotePrefix="0" xfId="0">
      <alignment horizontal="general" vertical="bottom"/>
    </xf>
    <xf numFmtId="166" fontId="6" fillId="2" borderId="0" applyAlignment="1" pivotButton="0" quotePrefix="0" xfId="0">
      <alignment horizontal="general" vertical="bottom"/>
    </xf>
    <xf numFmtId="164" fontId="0" fillId="0" borderId="0" applyAlignment="1" pivotButton="0" quotePrefix="0" xfId="0">
      <alignment horizontal="general" vertical="bottom"/>
    </xf>
    <xf numFmtId="167" fontId="8" fillId="2" borderId="0" applyAlignment="1" pivotButton="0" quotePrefix="0" xfId="0">
      <alignment horizontal="general" vertical="bottom"/>
    </xf>
    <xf numFmtId="1" fontId="8" fillId="0" borderId="1" applyAlignment="1" pivotButton="0" quotePrefix="0" xfId="0">
      <alignment horizontal="general" vertical="bottom"/>
    </xf>
    <xf numFmtId="2" fontId="8" fillId="0" borderId="1" applyAlignment="1" pivotButton="0" quotePrefix="0" xfId="0">
      <alignment horizontal="general" vertical="bottom"/>
    </xf>
    <xf numFmtId="3" fontId="8" fillId="0" borderId="1" applyAlignment="1" pivotButton="0" quotePrefix="0" xfId="0">
      <alignment horizontal="general" vertical="bottom"/>
    </xf>
    <xf numFmtId="165" fontId="8" fillId="2" borderId="1" applyAlignment="1" pivotButton="0" quotePrefix="0" xfId="0">
      <alignment horizontal="general" vertical="bottom"/>
    </xf>
    <xf numFmtId="165" fontId="8" fillId="0" borderId="1" applyAlignment="1" pivotButton="0" quotePrefix="0" xfId="0">
      <alignment horizontal="general" vertical="bottom"/>
    </xf>
    <xf numFmtId="166" fontId="8" fillId="2" borderId="1" applyAlignment="1" pivotButton="0" quotePrefix="0" xfId="0">
      <alignment horizontal="general" vertical="bottom"/>
    </xf>
    <xf numFmtId="167" fontId="8" fillId="2" borderId="1" applyAlignment="1" pivotButton="0" quotePrefix="0" xfId="0">
      <alignment horizontal="general" vertical="bottom"/>
    </xf>
    <xf numFmtId="0" fontId="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3" borderId="1" applyAlignment="1" pivotButton="0" quotePrefix="0" xfId="0">
      <alignment horizontal="general" vertical="bottom"/>
    </xf>
    <xf numFmtId="0" fontId="6" fillId="0" borderId="1" applyAlignment="1" pivotButton="0" quotePrefix="0" xfId="0">
      <alignment horizontal="general" vertical="bottom"/>
    </xf>
    <xf numFmtId="0" fontId="5" fillId="0" borderId="0" applyAlignment="1" pivotButton="0" quotePrefix="0" xfId="0">
      <alignment horizontal="general" vertical="bottom"/>
    </xf>
    <xf numFmtId="0" fontId="4" fillId="0" borderId="0" applyAlignment="1" pivotButton="0" quotePrefix="0" xfId="0">
      <alignment horizontal="general" vertical="bottom"/>
    </xf>
    <xf numFmtId="0" fontId="9" fillId="0" borderId="1" applyAlignment="1" pivotButton="0" quotePrefix="0" xfId="0">
      <alignment horizontal="general" vertical="bottom"/>
    </xf>
    <xf numFmtId="0" fontId="8" fillId="0" borderId="1" applyAlignment="1" pivotButton="0" quotePrefix="0" xfId="0">
      <alignment horizontal="general" vertical="bottom"/>
    </xf>
    <xf numFmtId="0" fontId="5" fillId="0" borderId="1" applyAlignment="1" pivotButton="0" quotePrefix="0" xfId="0">
      <alignment horizontal="general" vertical="top" wrapText="1"/>
    </xf>
    <xf numFmtId="0" fontId="8" fillId="0" borderId="0" applyAlignment="1" pivotButton="0" quotePrefix="0" xfId="0">
      <alignment horizontal="general" vertical="bottom"/>
    </xf>
    <xf numFmtId="0" fontId="8" fillId="4" borderId="0" applyAlignment="1" pivotButton="0" quotePrefix="0" xfId="0">
      <alignment horizontal="general" vertical="bottom"/>
    </xf>
    <xf numFmtId="0" fontId="7" fillId="2" borderId="1" applyAlignment="1" pivotButton="0" quotePrefix="0" xfId="0">
      <alignment horizontal="general" vertical="bottom"/>
    </xf>
    <xf numFmtId="0" fontId="6" fillId="0" borderId="0" applyAlignment="1" pivotButton="0" quotePrefix="0" xfId="0">
      <alignment horizontal="general" vertical="bottom"/>
    </xf>
    <xf numFmtId="0" fontId="8" fillId="4" borderId="1" applyAlignment="1" pivotButton="0" quotePrefix="0" xfId="0">
      <alignment horizontal="general" vertical="bottom"/>
    </xf>
    <xf numFmtId="164" fontId="8" fillId="0" borderId="1" applyAlignment="1" pivotButton="0" quotePrefix="0" xfId="0">
      <alignment horizontal="general" vertical="bottom"/>
    </xf>
    <xf numFmtId="2" fontId="6" fillId="0" borderId="1" applyAlignment="1" pivotButton="0" quotePrefix="0" xfId="0">
      <alignment horizontal="general" vertical="bottom"/>
    </xf>
    <xf numFmtId="9" fontId="9" fillId="0" borderId="1" applyAlignment="1" pivotButton="0" quotePrefix="0" xfId="0">
      <alignment horizontal="general" vertical="bottom"/>
    </xf>
    <xf numFmtId="9" fontId="6" fillId="0" borderId="1" applyAlignment="1" pivotButton="0" quotePrefix="0" xfId="0">
      <alignment horizontal="general" vertical="bottom"/>
    </xf>
    <xf numFmtId="2" fontId="9" fillId="2" borderId="1" applyAlignment="1" pivotButton="0" quotePrefix="0" xfId="0">
      <alignment horizontal="general" vertical="bottom"/>
    </xf>
    <xf numFmtId="164" fontId="8" fillId="2" borderId="1" applyAlignment="1" pivotButton="0" quotePrefix="0" xfId="0">
      <alignment horizontal="general" vertical="bottom"/>
    </xf>
    <xf numFmtId="2" fontId="8" fillId="2" borderId="1" applyAlignment="1" pivotButton="0" quotePrefix="0" xfId="0">
      <alignment horizontal="general" vertical="bottom"/>
    </xf>
    <xf numFmtId="3" fontId="6" fillId="2" borderId="1" applyAlignment="1" pivotButton="0" quotePrefix="0" xfId="0">
      <alignment horizontal="general" vertical="bottom"/>
    </xf>
    <xf numFmtId="1" fontId="9" fillId="0" borderId="1" applyAlignment="1" pivotButton="0" quotePrefix="0" xfId="0">
      <alignment horizontal="general" vertical="bottom"/>
    </xf>
    <xf numFmtId="165" fontId="6" fillId="0" borderId="1" applyAlignment="1" pivotButton="0" quotePrefix="0" xfId="0">
      <alignment horizontal="general" vertical="bottom"/>
    </xf>
    <xf numFmtId="2" fontId="9" fillId="0" borderId="1" applyAlignment="1" pivotButton="0" quotePrefix="0" xfId="0">
      <alignment horizontal="general" vertical="bottom"/>
    </xf>
    <xf numFmtId="164" fontId="6" fillId="0" borderId="1" applyAlignment="1" pivotButton="0" quotePrefix="0" xfId="0">
      <alignment horizontal="general" vertical="bottom"/>
    </xf>
    <xf numFmtId="0" fontId="0" fillId="0" borderId="1" applyAlignment="1" pivotButton="0" quotePrefix="0" xfId="0">
      <alignment horizontal="general" vertical="bottom"/>
    </xf>
    <xf numFmtId="0" fontId="5" fillId="0" borderId="1" applyAlignment="1" pivotButton="0" quotePrefix="0" xfId="0">
      <alignment horizontal="general" vertical="bottom"/>
    </xf>
    <xf numFmtId="2" fontId="7" fillId="2" borderId="0" applyAlignment="1" pivotButton="0" quotePrefix="0" xfId="0">
      <alignment horizontal="general" vertical="bottom"/>
    </xf>
    <xf numFmtId="164" fontId="8" fillId="0" borderId="0" applyAlignment="1" pivotButton="0" quotePrefix="0" xfId="0">
      <alignment horizontal="general" vertical="bottom"/>
    </xf>
    <xf numFmtId="2" fontId="6" fillId="0" borderId="0" applyAlignment="1" pivotButton="0" quotePrefix="0" xfId="0">
      <alignment horizontal="general" vertical="bottom"/>
    </xf>
    <xf numFmtId="166" fontId="6" fillId="2" borderId="0" applyAlignment="1" pivotButton="0" quotePrefix="0" xfId="0">
      <alignment horizontal="general" vertical="bottom"/>
    </xf>
    <xf numFmtId="164" fontId="0" fillId="0" borderId="0" applyAlignment="1" pivotButton="0" quotePrefix="0" xfId="0">
      <alignment horizontal="general" vertical="bottom"/>
    </xf>
    <xf numFmtId="167" fontId="8" fillId="2" borderId="0" applyAlignment="1" pivotButton="0" quotePrefix="0" xfId="0">
      <alignment horizontal="general" vertical="bottom"/>
    </xf>
    <xf numFmtId="0" fontId="10" fillId="0" borderId="0" pivotButton="0" quotePrefix="0" xfId="0"/>
    <xf numFmtId="0" fontId="0" fillId="0" borderId="0" applyAlignment="1" pivotButton="0" quotePrefix="0" xfId="0">
      <alignment vertical="top" wrapText="1"/>
    </xf>
    <xf numFmtId="1" fontId="8" fillId="0" borderId="1" applyAlignment="1" pivotButton="0" quotePrefix="0" xfId="0">
      <alignment horizontal="general" vertical="bottom"/>
    </xf>
    <xf numFmtId="2" fontId="8" fillId="0" borderId="1" applyAlignment="1" pivotButton="0" quotePrefix="0" xfId="0">
      <alignment horizontal="general" vertical="bottom"/>
    </xf>
    <xf numFmtId="3" fontId="8" fillId="0" borderId="1" applyAlignment="1" pivotButton="0" quotePrefix="0" xfId="0">
      <alignment horizontal="general" vertical="bottom"/>
    </xf>
    <xf numFmtId="165" fontId="8" fillId="2" borderId="1" applyAlignment="1" pivotButton="0" quotePrefix="0" xfId="0">
      <alignment horizontal="general" vertical="bottom"/>
    </xf>
    <xf numFmtId="165" fontId="8" fillId="0" borderId="1" applyAlignment="1" pivotButton="0" quotePrefix="0" xfId="0">
      <alignment horizontal="general" vertical="bottom"/>
    </xf>
    <xf numFmtId="166" fontId="8" fillId="2" borderId="1" applyAlignment="1" pivotButton="0" quotePrefix="0" xfId="0">
      <alignment horizontal="general" vertical="bottom"/>
    </xf>
    <xf numFmtId="167" fontId="8" fillId="2"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EFEFE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E5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AAAAAA"/>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1:B2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49" min="1" max="1"/>
    <col width="104" customWidth="1" style="49" min="2" max="2"/>
  </cols>
  <sheetData>
    <row r="1" ht="17.25" customHeight="1" s="50">
      <c r="B1" s="51" t="inlineStr">
        <is>
          <t>MyoLens — Effort Estimation Workbook</t>
        </is>
      </c>
    </row>
    <row r="2" ht="15" customHeight="1" s="50">
      <c r="B2" s="52" t="inlineStr">
        <is>
          <t>Enam Ahorlu  |  CSCD602 Advanced Software Engineering  |  built 13 August 2026</t>
        </is>
      </c>
    </row>
    <row r="3" ht="15" customHeight="1" s="50">
      <c r="B3" s="53" t="n"/>
    </row>
    <row r="4" ht="15" customHeight="1" s="50">
      <c r="B4" s="54" t="inlineStr">
        <is>
          <t>STATUS: PRIVATE PREPARATION DOCUMENT. NOT A SUBMITTED DELIVERABLE.</t>
        </is>
      </c>
    </row>
    <row r="5" ht="34.5" customHeight="1" s="50">
      <c r="B5" s="53" t="inlineStr">
        <is>
          <t>This workbook holds the arithmetic, the same way MyoLens_PLAN_OF_RECORD.md holds the plan. The marked effort-estimation section is written fresh inside the examination window, from the SRS as it actually ends up, and the counts below are re-derived there rather than pasted. Treat this file the way you would treat revision notes.</t>
        </is>
      </c>
    </row>
    <row r="6" ht="15" customHeight="1" s="50">
      <c r="B6" s="53" t="n"/>
    </row>
    <row r="7" ht="15" customHeight="1" s="50">
      <c r="B7" s="55" t="inlineStr">
        <is>
          <t>What it computes</t>
        </is>
      </c>
    </row>
    <row r="8" ht="23.25" customHeight="1" s="50">
      <c r="B8" s="53" t="inlineStr">
        <is>
          <t>Function Point Analysis over the frozen scope, a Value Adjustment Factor over the 14 general system characteristics, a backfired KLOC figure, COCOMO 81 organic effort, a PERT range over a work breakdown, and the reconciliation between the two.</t>
        </is>
      </c>
    </row>
    <row r="9" ht="15" customHeight="1" s="50">
      <c r="B9" s="53" t="n"/>
    </row>
    <row r="10" ht="15" customHeight="1" s="50">
      <c r="B10" s="55" t="inlineStr">
        <is>
          <t>How to read it</t>
        </is>
      </c>
    </row>
    <row r="11" ht="23.25" customHeight="1" s="50">
      <c r="B11" s="53" t="inlineStr">
        <is>
          <t>Blue cells are inputs you can change. Yellow cells are the load-bearing assumptions — the backfiring ratio and the available-hours envelope. Everything black is a formula and will move when you change an input. No result is typed in.</t>
        </is>
      </c>
    </row>
    <row r="12" ht="15" customHeight="1" s="50">
      <c r="B12" s="53" t="n"/>
    </row>
    <row r="13" ht="15" customHeight="1" s="50">
      <c r="B13" s="55" t="inlineStr">
        <is>
          <t>Sheets</t>
        </is>
      </c>
    </row>
    <row r="14" ht="15" customHeight="1" s="50">
      <c r="B14" s="53" t="inlineStr">
        <is>
          <t>1 FPA          Every transaction and logical file counted, with the RET/DET/FTR values that set its complexity</t>
        </is>
      </c>
    </row>
    <row r="15" ht="15" customHeight="1" s="50">
      <c r="B15" s="53" t="inlineStr">
        <is>
          <t>2 VAF          The 14 GSCs, each rated 0-5 with a written justification, and the adjusted count</t>
        </is>
      </c>
    </row>
    <row r="16" ht="15" customHeight="1" s="50">
      <c r="B16" s="53" t="inlineStr">
        <is>
          <t>3 COCOMO       Backfiring to KLOC, then effort, schedule and staffing from COCOMO 81 organic</t>
        </is>
      </c>
    </row>
    <row r="17" ht="15" customHeight="1" s="50">
      <c r="B17" s="53" t="inlineStr">
        <is>
          <t>4 PERT         Work breakdown with optimistic / most likely / pessimistic hours, expected effort and variance</t>
        </is>
      </c>
    </row>
    <row r="18" ht="15" customHeight="1" s="50">
      <c r="B18" s="53" t="inlineStr">
        <is>
          <t>5 Reconcil.    The gap between the two, and what was done about it</t>
        </is>
      </c>
    </row>
    <row r="19" ht="15" customHeight="1" s="50">
      <c r="B19" s="53" t="inlineStr">
        <is>
          <t>Weights        The IFPUG weight table and the three complexity matrices the FPA sheet looks up</t>
        </is>
      </c>
    </row>
    <row r="20" ht="15" customHeight="1" s="50">
      <c r="B20" s="53" t="n"/>
    </row>
    <row r="21" ht="15" customHeight="1" s="50">
      <c r="B21" s="55" t="inlineStr">
        <is>
          <t>The one thing to check before using these numbers</t>
        </is>
      </c>
    </row>
    <row r="22" ht="34.5" customHeight="1" s="50">
      <c r="B22" s="53" t="inlineStr">
        <is>
          <t>The O / M / P hours on sheet 4 are the only figures in this workbook that are not derived from the frozen scope — they are judgement. Read them once and adjust anything that looks wrong for how you actually work. Everything downstream recalculates.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49" min="1" max="1"/>
    <col width="12" customWidth="1" style="49" min="2" max="5"/>
  </cols>
  <sheetData>
    <row r="1" ht="15" customHeight="1" s="50">
      <c r="A1" s="56" t="inlineStr">
        <is>
          <t>IFPUG unadjusted weights</t>
        </is>
      </c>
    </row>
    <row r="2" ht="15" customHeight="1" s="50">
      <c r="A2" s="57" t="inlineStr">
        <is>
          <t>Type</t>
        </is>
      </c>
      <c r="B2" s="57" t="inlineStr">
        <is>
          <t>Low</t>
        </is>
      </c>
      <c r="C2" s="57" t="inlineStr">
        <is>
          <t>Average</t>
        </is>
      </c>
      <c r="D2" s="57" t="inlineStr">
        <is>
          <t>High</t>
        </is>
      </c>
    </row>
    <row r="3" ht="15" customHeight="1" s="50">
      <c r="A3" s="58" t="inlineStr">
        <is>
          <t>ILF</t>
        </is>
      </c>
      <c r="B3" s="58" t="n">
        <v>7</v>
      </c>
      <c r="C3" s="58" t="n">
        <v>10</v>
      </c>
      <c r="D3" s="58" t="n">
        <v>15</v>
      </c>
    </row>
    <row r="4" ht="15" customHeight="1" s="50">
      <c r="A4" s="58" t="inlineStr">
        <is>
          <t>EIF</t>
        </is>
      </c>
      <c r="B4" s="58" t="n">
        <v>5</v>
      </c>
      <c r="C4" s="58" t="n">
        <v>7</v>
      </c>
      <c r="D4" s="58" t="n">
        <v>10</v>
      </c>
    </row>
    <row r="5" ht="15" customHeight="1" s="50">
      <c r="A5" s="58" t="inlineStr">
        <is>
          <t>EI</t>
        </is>
      </c>
      <c r="B5" s="58" t="n">
        <v>3</v>
      </c>
      <c r="C5" s="58" t="n">
        <v>4</v>
      </c>
      <c r="D5" s="58" t="n">
        <v>6</v>
      </c>
    </row>
    <row r="6" ht="15" customHeight="1" s="50">
      <c r="A6" s="58" t="inlineStr">
        <is>
          <t>EO</t>
        </is>
      </c>
      <c r="B6" s="58" t="n">
        <v>4</v>
      </c>
      <c r="C6" s="58" t="n">
        <v>5</v>
      </c>
      <c r="D6" s="58" t="n">
        <v>7</v>
      </c>
    </row>
    <row r="7" ht="15" customHeight="1" s="50">
      <c r="A7" s="58" t="inlineStr">
        <is>
          <t>EQ</t>
        </is>
      </c>
      <c r="B7" s="58" t="n">
        <v>3</v>
      </c>
      <c r="C7" s="58" t="n">
        <v>4</v>
      </c>
      <c r="D7" s="58" t="n">
        <v>6</v>
      </c>
    </row>
    <row r="10" ht="15" customHeight="1" s="50">
      <c r="A10" s="56" t="inlineStr">
        <is>
          <t>Complexity matrices  (row band x column band -&gt; complexity)</t>
        </is>
      </c>
    </row>
    <row r="11" ht="15" customHeight="1" s="50">
      <c r="A11" s="59" t="inlineStr">
        <is>
          <t>Data functions (ILF, EIF): rows = RET bands 1 / 2-5 / 6+, cols = DET bands &lt;20 / 20-50 / 51+</t>
        </is>
      </c>
    </row>
    <row r="12" ht="15" customHeight="1" s="50">
      <c r="A12" s="58" t="inlineStr">
        <is>
          <t>Low</t>
        </is>
      </c>
      <c r="B12" s="58" t="inlineStr">
        <is>
          <t>Low</t>
        </is>
      </c>
      <c r="C12" s="58" t="inlineStr">
        <is>
          <t>Average</t>
        </is>
      </c>
    </row>
    <row r="13" ht="15" customHeight="1" s="50">
      <c r="A13" s="58" t="inlineStr">
        <is>
          <t>Low</t>
        </is>
      </c>
      <c r="B13" s="58" t="inlineStr">
        <is>
          <t>Average</t>
        </is>
      </c>
      <c r="C13" s="58" t="inlineStr">
        <is>
          <t>High</t>
        </is>
      </c>
    </row>
    <row r="14" ht="15" customHeight="1" s="50">
      <c r="A14" s="58" t="inlineStr">
        <is>
          <t>Average</t>
        </is>
      </c>
      <c r="B14" s="58" t="inlineStr">
        <is>
          <t>High</t>
        </is>
      </c>
      <c r="C14" s="58" t="inlineStr">
        <is>
          <t>High</t>
        </is>
      </c>
    </row>
    <row r="17" ht="15" customHeight="1" s="50">
      <c r="A17" s="59" t="inlineStr">
        <is>
          <t>External inputs (EI): rows = FTR bands 0-1 / 2 / 3+, cols = DET bands 1-4 / 5-15 / 16+</t>
        </is>
      </c>
    </row>
    <row r="18" ht="15" customHeight="1" s="50">
      <c r="A18" s="58" t="inlineStr">
        <is>
          <t>Low</t>
        </is>
      </c>
      <c r="B18" s="58" t="inlineStr">
        <is>
          <t>Low</t>
        </is>
      </c>
      <c r="C18" s="58" t="inlineStr">
        <is>
          <t>Average</t>
        </is>
      </c>
    </row>
    <row r="19" ht="15" customHeight="1" s="50">
      <c r="A19" s="58" t="inlineStr">
        <is>
          <t>Low</t>
        </is>
      </c>
      <c r="B19" s="58" t="inlineStr">
        <is>
          <t>Average</t>
        </is>
      </c>
      <c r="C19" s="58" t="inlineStr">
        <is>
          <t>High</t>
        </is>
      </c>
    </row>
    <row r="20" ht="15" customHeight="1" s="50">
      <c r="A20" s="58" t="inlineStr">
        <is>
          <t>Average</t>
        </is>
      </c>
      <c r="B20" s="58" t="inlineStr">
        <is>
          <t>High</t>
        </is>
      </c>
      <c r="C20" s="58" t="inlineStr">
        <is>
          <t>High</t>
        </is>
      </c>
    </row>
    <row r="23" ht="15" customHeight="1" s="50">
      <c r="A23" s="59" t="inlineStr">
        <is>
          <t>Outputs and enquiries (EO, EQ): rows = FTR bands 0-1 / 2-3 / 4+, cols = DET bands 1-5 / 6-19 / 20+</t>
        </is>
      </c>
    </row>
    <row r="24" ht="15" customHeight="1" s="50">
      <c r="A24" s="58" t="inlineStr">
        <is>
          <t>Low</t>
        </is>
      </c>
      <c r="B24" s="58" t="inlineStr">
        <is>
          <t>Low</t>
        </is>
      </c>
      <c r="C24" s="58" t="inlineStr">
        <is>
          <t>Average</t>
        </is>
      </c>
    </row>
    <row r="25" ht="15" customHeight="1" s="50">
      <c r="A25" s="58" t="inlineStr">
        <is>
          <t>Low</t>
        </is>
      </c>
      <c r="B25" s="58" t="inlineStr">
        <is>
          <t>Average</t>
        </is>
      </c>
      <c r="C25" s="58" t="inlineStr">
        <is>
          <t>High</t>
        </is>
      </c>
    </row>
    <row r="26" ht="15" customHeight="1" s="50">
      <c r="A26" s="58" t="inlineStr">
        <is>
          <t>Average</t>
        </is>
      </c>
      <c r="B26" s="58" t="inlineStr">
        <is>
          <t>High</t>
        </is>
      </c>
      <c r="C26" s="58" t="inlineStr">
        <is>
          <t>High</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5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49" min="1" max="1"/>
    <col width="46" customWidth="1" style="49" min="2" max="2"/>
    <col width="9" customWidth="1" style="49" min="3" max="6"/>
    <col width="12" customWidth="1" style="49" min="7" max="7"/>
    <col width="7" customWidth="1" style="49" min="8" max="8"/>
    <col width="44" customWidth="1" style="49" min="9" max="9"/>
  </cols>
  <sheetData>
    <row r="1" ht="17.25" customHeight="1" s="50">
      <c r="A1" s="60" t="inlineStr">
        <is>
          <t>Function Point Analysis — counted from the frozen scope (plan of record sections 7, 9 and 10)</t>
        </is>
      </c>
    </row>
    <row r="2" ht="303.75" customHeight="1" s="50">
      <c r="A2" s="52" t="inlineStr">
        <is>
          <t>Complexity is not typed in. It is looked up from the RET/DET or FTR/DET bands on the Weights sheet, so a disagreement about a count is visible as a disagreement about a number rather than a verdict.</t>
        </is>
      </c>
    </row>
    <row r="4" ht="15" customHeight="1" s="50">
      <c r="A4" s="56" t="inlineStr">
        <is>
          <t>Data functions</t>
        </is>
      </c>
    </row>
    <row r="5" ht="15" customHeight="1" s="50">
      <c r="A5" s="57" t="inlineStr">
        <is>
          <t>Type</t>
        </is>
      </c>
      <c r="B5" s="57" t="inlineStr">
        <is>
          <t>Function</t>
        </is>
      </c>
      <c r="C5" s="57" t="inlineStr">
        <is>
          <t>RET/FTR</t>
        </is>
      </c>
      <c r="D5" s="57" t="inlineStr">
        <is>
          <t>DET</t>
        </is>
      </c>
      <c r="E5" s="57" t="inlineStr">
        <is>
          <t>Row band</t>
        </is>
      </c>
      <c r="F5" s="57" t="inlineStr">
        <is>
          <t>Col band</t>
        </is>
      </c>
      <c r="G5" s="57" t="inlineStr">
        <is>
          <t>Complexity</t>
        </is>
      </c>
      <c r="H5" s="57" t="inlineStr">
        <is>
          <t>FP</t>
        </is>
      </c>
      <c r="I5" s="57" t="inlineStr">
        <is>
          <t>Basis</t>
        </is>
      </c>
    </row>
    <row r="6" ht="21.75" customHeight="1" s="50">
      <c r="A6" s="58" t="inlineStr">
        <is>
          <t>ILF</t>
        </is>
      </c>
      <c r="B6" s="58" t="inlineStr">
        <is>
          <t>Users</t>
        </is>
      </c>
      <c r="C6" s="61" t="n">
        <v>1</v>
      </c>
      <c r="D6" s="61" t="n">
        <v>6</v>
      </c>
      <c r="E6" s="58">
        <f>IF(C6&lt;=1,1,IF(C6&lt;=5,2,3))</f>
        <v/>
      </c>
      <c r="F6" s="58">
        <f>IF(D6&lt;20,1,IF(D6&lt;=50,2,3))</f>
        <v/>
      </c>
      <c r="G6" s="58">
        <f>INDEX(Weights!$A$12:$C$14,E6,F6)</f>
        <v/>
      </c>
      <c r="H6" s="62">
        <f>INDEX(Weights!$B$3:$D$7,MATCH(A6,Weights!$A$3:$A$7,0),MATCH(G6,Weights!$B$2:$D$2,0))</f>
        <v/>
      </c>
      <c r="I6" s="63" t="inlineStr">
        <is>
          <t>A1 / A2 — uid, email, displayName, role, createdAt, disabledAt</t>
        </is>
      </c>
    </row>
    <row r="7" ht="21.75" customHeight="1" s="50">
      <c r="A7" s="58" t="inlineStr">
        <is>
          <t>ILF</t>
        </is>
      </c>
      <c r="B7" s="58" t="inlineStr">
        <is>
          <t>Participants</t>
        </is>
      </c>
      <c r="C7" s="61" t="n">
        <v>1</v>
      </c>
      <c r="D7" s="61" t="n">
        <v>9</v>
      </c>
      <c r="E7" s="58">
        <f>IF(C7&lt;=1,1,IF(C7&lt;=5,2,3))</f>
        <v/>
      </c>
      <c r="F7" s="58">
        <f>IF(D7&lt;20,1,IF(D7&lt;=50,2,3))</f>
        <v/>
      </c>
      <c r="G7" s="58">
        <f>INDEX(Weights!$A$12:$C$14,E7,F7)</f>
        <v/>
      </c>
      <c r="H7" s="62">
        <f>INDEX(Weights!$B$3:$D$7,MATCH(A7,Weights!$A$3:$A$7,0),MATCH(G7,Weights!$B$2:$D$2,0))</f>
        <v/>
      </c>
      <c r="I7" s="63" t="inlineStr">
        <is>
          <t>B1 — code, ageBand, sex, affectedSide, notes, createdBy, createdAt, deletedAt, difficultyBand</t>
        </is>
      </c>
    </row>
    <row r="8" ht="21.75" customHeight="1" s="50">
      <c r="A8" s="58" t="inlineStr">
        <is>
          <t>ILF</t>
        </is>
      </c>
      <c r="B8" s="58" t="inlineStr">
        <is>
          <t>Calibrations</t>
        </is>
      </c>
      <c r="C8" s="61" t="n">
        <v>2</v>
      </c>
      <c r="D8" s="61" t="n">
        <v>30</v>
      </c>
      <c r="E8" s="58">
        <f>IF(C8&lt;=1,1,IF(C8&lt;=5,2,3))</f>
        <v/>
      </c>
      <c r="F8" s="58">
        <f>IF(D8&lt;20,1,IF(D8&lt;=50,2,3))</f>
        <v/>
      </c>
      <c r="G8" s="58">
        <f>INDEX(Weights!$A$12:$C$14,E8,F8)</f>
        <v/>
      </c>
      <c r="H8" s="62">
        <f>INDEX(Weights!$B$3:$D$7,MATCH(A8,Weights!$A$3:$A$7,0),MATCH(G8,Weights!$B$2:$D$2,0))</f>
        <v/>
      </c>
      <c r="I8" s="63" t="inlineStr">
        <is>
          <t>C1-C5 — record fields plus a per-task sub-record (4 tasks x 3 fields) and a 9-value envelope vector</t>
        </is>
      </c>
    </row>
    <row r="9" ht="21.75" customHeight="1" s="50">
      <c r="A9" s="58" t="inlineStr">
        <is>
          <t>ILF</t>
        </is>
      </c>
      <c r="B9" s="58" t="inlineStr">
        <is>
          <t>Sessions</t>
        </is>
      </c>
      <c r="C9" s="61" t="n">
        <v>1</v>
      </c>
      <c r="D9" s="61" t="n">
        <v>16</v>
      </c>
      <c r="E9" s="58">
        <f>IF(C9&lt;=1,1,IF(C9&lt;=5,2,3))</f>
        <v/>
      </c>
      <c r="F9" s="58">
        <f>IF(D9&lt;20,1,IF(D9&lt;=50,2,3))</f>
        <v/>
      </c>
      <c r="G9" s="58">
        <f>INDEX(Weights!$A$12:$C$14,E9,F9)</f>
        <v/>
      </c>
      <c r="H9" s="62">
        <f>INDEX(Weights!$B$3:$D$7,MATCH(A9,Weights!$A$3:$A$7,0),MATCH(G9,Weights!$B$2:$D$2,0))</f>
        <v/>
      </c>
      <c r="I9" s="63" t="inlineStr">
        <is>
          <t>D1-D8 — provenance, montage, model version and hash, prediction object, approval fields</t>
        </is>
      </c>
    </row>
    <row r="10" ht="21.75" customHeight="1" s="50">
      <c r="A10" s="58" t="inlineStr">
        <is>
          <t>ILF</t>
        </is>
      </c>
      <c r="B10" s="58" t="inlineStr">
        <is>
          <t>Bouts</t>
        </is>
      </c>
      <c r="C10" s="61" t="n">
        <v>1</v>
      </c>
      <c r="D10" s="61" t="n">
        <v>11</v>
      </c>
      <c r="E10" s="58">
        <f>IF(C10&lt;=1,1,IF(C10&lt;=5,2,3))</f>
        <v/>
      </c>
      <c r="F10" s="58">
        <f>IF(D10&lt;20,1,IF(D10&lt;=50,2,3))</f>
        <v/>
      </c>
      <c r="G10" s="58">
        <f>INDEX(Weights!$A$12:$C$14,E10,F10)</f>
        <v/>
      </c>
      <c r="H10" s="62">
        <f>INDEX(Weights!$B$3:$D$7,MATCH(A10,Weights!$A$3:$A$7,0),MATCH(G10,Weights!$B$2:$D$2,0))</f>
        <v/>
      </c>
      <c r="I10" s="63" t="inlineStr">
        <is>
          <t>D7, E3-E6 — label, window bounds, confidence, flags, excluded, originalLabel, corrected</t>
        </is>
      </c>
    </row>
    <row r="11" ht="21.75" customHeight="1" s="50">
      <c r="A11" s="58" t="inlineStr">
        <is>
          <t>ILF</t>
        </is>
      </c>
      <c r="B11" s="58" t="inlineStr">
        <is>
          <t>Metrics</t>
        </is>
      </c>
      <c r="C11" s="61" t="n">
        <v>3</v>
      </c>
      <c r="D11" s="61" t="n">
        <v>34</v>
      </c>
      <c r="E11" s="58">
        <f>IF(C11&lt;=1,1,IF(C11&lt;=5,2,3))</f>
        <v/>
      </c>
      <c r="F11" s="58">
        <f>IF(D11&lt;20,1,IF(D11&lt;=50,2,3))</f>
        <v/>
      </c>
      <c r="G11" s="58">
        <f>INDEX(Weights!$A$12:$C$14,E11,F11)</f>
        <v/>
      </c>
      <c r="H11" s="62">
        <f>INDEX(Weights!$B$3:$D$7,MATCH(A11,Weights!$A$3:$A$7,0),MATCH(G11,Weights!$B$2:$D$2,0))</f>
        <v/>
      </c>
      <c r="I11" s="63" t="inlineStr">
        <is>
          <t>F1 — 9 metrics across 4 tasks, per-task and per-channel sub-records</t>
        </is>
      </c>
    </row>
    <row r="12" ht="21.75" customHeight="1" s="50">
      <c r="A12" s="58" t="inlineStr">
        <is>
          <t>ILF</t>
        </is>
      </c>
      <c r="B12" s="58" t="inlineStr">
        <is>
          <t>Model registry</t>
        </is>
      </c>
      <c r="C12" s="61" t="n">
        <v>1</v>
      </c>
      <c r="D12" s="61" t="n">
        <v>11</v>
      </c>
      <c r="E12" s="58">
        <f>IF(C12&lt;=1,1,IF(C12&lt;=5,2,3))</f>
        <v/>
      </c>
      <c r="F12" s="58">
        <f>IF(D12&lt;20,1,IF(D12&lt;=50,2,3))</f>
        <v/>
      </c>
      <c r="G12" s="58">
        <f>INDEX(Weights!$A$12:$C$14,E12,F12)</f>
        <v/>
      </c>
      <c r="H12" s="62">
        <f>INDEX(Weights!$B$3:$D$7,MATCH(A12,Weights!$A$3:$A$7,0),MATCH(G12,Weights!$B$2:$D$2,0))</f>
        <v/>
      </c>
      <c r="I12" s="63" t="inlineStr">
        <is>
          <t>H1, H2 — version, hash, training protocol, three accuracy figures, montage contract</t>
        </is>
      </c>
    </row>
    <row r="13" ht="21.75" customHeight="1" s="50">
      <c r="A13" s="58" t="inlineStr">
        <is>
          <t>ILF</t>
        </is>
      </c>
      <c r="B13" s="58" t="inlineStr">
        <is>
          <t>Audit log</t>
        </is>
      </c>
      <c r="C13" s="61" t="n">
        <v>1</v>
      </c>
      <c r="D13" s="61" t="n">
        <v>8</v>
      </c>
      <c r="E13" s="58">
        <f>IF(C13&lt;=1,1,IF(C13&lt;=5,2,3))</f>
        <v/>
      </c>
      <c r="F13" s="58">
        <f>IF(D13&lt;20,1,IF(D13&lt;=50,2,3))</f>
        <v/>
      </c>
      <c r="G13" s="58">
        <f>INDEX(Weights!$A$12:$C$14,E13,F13)</f>
        <v/>
      </c>
      <c r="H13" s="62">
        <f>INDEX(Weights!$B$3:$D$7,MATCH(A13,Weights!$A$3:$A$7,0),MATCH(G13,Weights!$B$2:$D$2,0))</f>
        <v/>
      </c>
      <c r="I13" s="63" t="inlineStr">
        <is>
          <t>H3, E8 — actor, action, targetType, targetId, before, after, at</t>
        </is>
      </c>
    </row>
    <row r="14" ht="21.75" customHeight="1" s="50">
      <c r="A14" s="58" t="inlineStr">
        <is>
          <t>EIF</t>
        </is>
      </c>
      <c r="B14" s="58" t="inlineStr">
        <is>
          <t>Firebase Auth identity store</t>
        </is>
      </c>
      <c r="C14" s="61" t="n">
        <v>1</v>
      </c>
      <c r="D14" s="61" t="n">
        <v>6</v>
      </c>
      <c r="E14" s="58">
        <f>IF(C14&lt;=1,1,IF(C14&lt;=5,2,3))</f>
        <v/>
      </c>
      <c r="F14" s="58">
        <f>IF(D14&lt;20,1,IF(D14&lt;=50,2,3))</f>
        <v/>
      </c>
      <c r="G14" s="58">
        <f>INDEX(Weights!$A$12:$C$14,E14,F14)</f>
        <v/>
      </c>
      <c r="H14" s="62">
        <f>INDEX(Weights!$B$3:$D$7,MATCH(A14,Weights!$A$3:$A$7,0),MATCH(G14,Weights!$B$2:$D$2,0))</f>
        <v/>
      </c>
      <c r="I14" s="63" t="inlineStr">
        <is>
          <t>A1 — referenced for token verification; identity records are maintained by the platform, not by MyoLens</t>
        </is>
      </c>
    </row>
    <row r="15" ht="21.75" customHeight="1" s="50">
      <c r="A15" s="58" t="inlineStr">
        <is>
          <t>EIF</t>
        </is>
      </c>
      <c r="B15" s="58" t="inlineStr">
        <is>
          <t>ONNX artefact set and manifest</t>
        </is>
      </c>
      <c r="C15" s="61" t="n">
        <v>2</v>
      </c>
      <c r="D15" s="61" t="n">
        <v>12</v>
      </c>
      <c r="E15" s="58">
        <f>IF(C15&lt;=1,1,IF(C15&lt;=5,2,3))</f>
        <v/>
      </c>
      <c r="F15" s="58">
        <f>IF(D15&lt;20,1,IF(D15&lt;=50,2,3))</f>
        <v/>
      </c>
      <c r="G15" s="58">
        <f>INDEX(Weights!$A$12:$C$14,E15,F15)</f>
        <v/>
      </c>
      <c r="H15" s="62">
        <f>INDEX(Weights!$B$3:$D$7,MATCH(A15,Weights!$A$3:$A$7,0),MATCH(G15,Weights!$B$2:$D$2,0))</f>
        <v/>
      </c>
      <c r="I15" s="63" t="inlineStr">
        <is>
          <t>Deployment artefacts — read at cold start, never written by the application</t>
        </is>
      </c>
    </row>
    <row r="16" ht="15" customHeight="1" s="50">
      <c r="B16" s="64" t="inlineStr">
        <is>
          <t>Data function points</t>
        </is>
      </c>
      <c r="H16" s="65">
        <f>SUM(H6:H15)</f>
        <v/>
      </c>
    </row>
    <row r="18" ht="15" customHeight="1" s="50">
      <c r="A18" s="56" t="inlineStr">
        <is>
          <t>Transactional functions</t>
        </is>
      </c>
    </row>
    <row r="19" ht="15" customHeight="1" s="50">
      <c r="A19" s="57" t="inlineStr">
        <is>
          <t>Type</t>
        </is>
      </c>
      <c r="B19" s="57" t="inlineStr">
        <is>
          <t>Function</t>
        </is>
      </c>
      <c r="C19" s="57" t="inlineStr">
        <is>
          <t>RET/FTR</t>
        </is>
      </c>
      <c r="D19" s="57" t="inlineStr">
        <is>
          <t>DET</t>
        </is>
      </c>
      <c r="E19" s="57" t="inlineStr">
        <is>
          <t>Row band</t>
        </is>
      </c>
      <c r="F19" s="57" t="inlineStr">
        <is>
          <t>Col band</t>
        </is>
      </c>
      <c r="G19" s="57" t="inlineStr">
        <is>
          <t>Complexity</t>
        </is>
      </c>
      <c r="H19" s="57" t="inlineStr">
        <is>
          <t>FP</t>
        </is>
      </c>
      <c r="I19" s="57" t="inlineStr">
        <is>
          <t>Basis</t>
        </is>
      </c>
    </row>
    <row r="20" ht="15" customHeight="1" s="50">
      <c r="A20" s="58" t="inlineStr">
        <is>
          <t>EI</t>
        </is>
      </c>
      <c r="B20" s="58" t="inlineStr">
        <is>
          <t>Create participant</t>
        </is>
      </c>
      <c r="C20" s="61" t="n">
        <v>2</v>
      </c>
      <c r="D20" s="61" t="n">
        <v>9</v>
      </c>
      <c r="E20" s="58">
        <f>IF(C20&lt;=1,1,IF(C20=2,2,3))</f>
        <v/>
      </c>
      <c r="F20" s="58">
        <f>IF(D20&lt;=4,1,IF(D20&lt;=15,2,3))</f>
        <v/>
      </c>
      <c r="G20" s="58">
        <f>INDEX(Weights!$A$18:$C$20,E20,F20)</f>
        <v/>
      </c>
      <c r="H20" s="62">
        <f>INDEX(Weights!$B$3:$D$7,MATCH(A20,Weights!$A$3:$A$7,0),MATCH(G20,Weights!$B$2:$D$2,0))</f>
        <v/>
      </c>
      <c r="I20" s="63" t="inlineStr">
        <is>
          <t>B1 — writes Participants, writes Audit</t>
        </is>
      </c>
    </row>
    <row r="21" ht="15" customHeight="1" s="50">
      <c r="A21" s="58" t="inlineStr">
        <is>
          <t>EI</t>
        </is>
      </c>
      <c r="B21" s="58" t="inlineStr">
        <is>
          <t>Edit participant</t>
        </is>
      </c>
      <c r="C21" s="61" t="n">
        <v>2</v>
      </c>
      <c r="D21" s="61" t="n">
        <v>9</v>
      </c>
      <c r="E21" s="58">
        <f>IF(C21&lt;=1,1,IF(C21=2,2,3))</f>
        <v/>
      </c>
      <c r="F21" s="58">
        <f>IF(D21&lt;=4,1,IF(D21&lt;=15,2,3))</f>
        <v/>
      </c>
      <c r="G21" s="58">
        <f>INDEX(Weights!$A$18:$C$20,E21,F21)</f>
        <v/>
      </c>
      <c r="H21" s="62">
        <f>INDEX(Weights!$B$3:$D$7,MATCH(A21,Weights!$A$3:$A$7,0),MATCH(G21,Weights!$B$2:$D$2,0))</f>
        <v/>
      </c>
      <c r="I21" s="63" t="inlineStr">
        <is>
          <t>B2</t>
        </is>
      </c>
    </row>
    <row r="22" ht="15" customHeight="1" s="50">
      <c r="A22" s="58" t="inlineStr">
        <is>
          <t>EI</t>
        </is>
      </c>
      <c r="B22" s="58" t="inlineStr">
        <is>
          <t>Soft-delete participant</t>
        </is>
      </c>
      <c r="C22" s="61" t="n">
        <v>2</v>
      </c>
      <c r="D22" s="61" t="n">
        <v>3</v>
      </c>
      <c r="E22" s="58">
        <f>IF(C22&lt;=1,1,IF(C22=2,2,3))</f>
        <v/>
      </c>
      <c r="F22" s="58">
        <f>IF(D22&lt;=4,1,IF(D22&lt;=15,2,3))</f>
        <v/>
      </c>
      <c r="G22" s="58">
        <f>INDEX(Weights!$A$18:$C$20,E22,F22)</f>
        <v/>
      </c>
      <c r="H22" s="62">
        <f>INDEX(Weights!$B$3:$D$7,MATCH(A22,Weights!$A$3:$A$7,0),MATCH(G22,Weights!$B$2:$D$2,0))</f>
        <v/>
      </c>
      <c r="I22" s="63" t="inlineStr">
        <is>
          <t>B2 — sets deletedAt, retains the audit trail</t>
        </is>
      </c>
    </row>
    <row r="23" ht="21.75" customHeight="1" s="50">
      <c r="A23" s="58" t="inlineStr">
        <is>
          <t>EI</t>
        </is>
      </c>
      <c r="B23" s="58" t="inlineStr">
        <is>
          <t>Register calibration capture</t>
        </is>
      </c>
      <c r="C23" s="61" t="n">
        <v>4</v>
      </c>
      <c r="D23" s="61" t="n">
        <v>20</v>
      </c>
      <c r="E23" s="58">
        <f>IF(C23&lt;=1,1,IF(C23=2,2,3))</f>
        <v/>
      </c>
      <c r="F23" s="58">
        <f>IF(D23&lt;=4,1,IF(D23&lt;=15,2,3))</f>
        <v/>
      </c>
      <c r="G23" s="58">
        <f>INDEX(Weights!$A$18:$C$20,E23,F23)</f>
        <v/>
      </c>
      <c r="H23" s="62">
        <f>INDEX(Weights!$B$3:$D$7,MATCH(A23,Weights!$A$3:$A$7,0),MATCH(G23,Weights!$B$2:$D$2,0))</f>
        <v/>
      </c>
      <c r="I23" s="63" t="inlineStr">
        <is>
          <t>C1-C4 — Calibrations, Participants, Audit, plus the pooled training distribution for the OOD guard</t>
        </is>
      </c>
    </row>
    <row r="24" ht="21.75" customHeight="1" s="50">
      <c r="A24" s="58" t="inlineStr">
        <is>
          <t>EI</t>
        </is>
      </c>
      <c r="B24" s="58" t="inlineStr">
        <is>
          <t>Register session upload</t>
        </is>
      </c>
      <c r="C24" s="61" t="n">
        <v>4</v>
      </c>
      <c r="D24" s="61" t="n">
        <v>12</v>
      </c>
      <c r="E24" s="58">
        <f>IF(C24&lt;=1,1,IF(C24=2,2,3))</f>
        <v/>
      </c>
      <c r="F24" s="58">
        <f>IF(D24&lt;=4,1,IF(D24&lt;=15,2,3))</f>
        <v/>
      </c>
      <c r="G24" s="58">
        <f>INDEX(Weights!$A$18:$C$20,E24,F24)</f>
        <v/>
      </c>
      <c r="H24" s="62">
        <f>INDEX(Weights!$B$3:$D$7,MATCH(A24,Weights!$A$3:$A$7,0),MATCH(G24,Weights!$B$2:$D$2,0))</f>
        <v/>
      </c>
      <c r="I24" s="63" t="inlineStr">
        <is>
          <t>D1-D3 — Sessions, Participants, Calibrations, Audit; montage validated server-side</t>
        </is>
      </c>
    </row>
    <row r="25" ht="21.75" customHeight="1" s="50">
      <c r="A25" s="58" t="inlineStr">
        <is>
          <t>EI</t>
        </is>
      </c>
      <c r="B25" s="58" t="inlineStr">
        <is>
          <t>Segment session</t>
        </is>
      </c>
      <c r="C25" s="61" t="n">
        <v>5</v>
      </c>
      <c r="D25" s="61" t="n">
        <v>15</v>
      </c>
      <c r="E25" s="58">
        <f>IF(C25&lt;=1,1,IF(C25=2,2,3))</f>
        <v/>
      </c>
      <c r="F25" s="58">
        <f>IF(D25&lt;=4,1,IF(D25&lt;=15,2,3))</f>
        <v/>
      </c>
      <c r="G25" s="58">
        <f>INDEX(Weights!$A$18:$C$20,E25,F25)</f>
        <v/>
      </c>
      <c r="H25" s="62">
        <f>INDEX(Weights!$B$3:$D$7,MATCH(A25,Weights!$A$3:$A$7,0),MATCH(G25,Weights!$B$2:$D$2,0))</f>
        <v/>
      </c>
      <c r="I25" s="63" t="inlineStr">
        <is>
          <t>D4-D8 — the heaviest transaction: window, feature, normalise, infer, smooth, build bouts, flag</t>
        </is>
      </c>
    </row>
    <row r="26" ht="15" customHeight="1" s="50">
      <c r="A26" s="58" t="inlineStr">
        <is>
          <t>EI</t>
        </is>
      </c>
      <c r="B26" s="58" t="inlineStr">
        <is>
          <t>Relabel a bout</t>
        </is>
      </c>
      <c r="C26" s="61" t="n">
        <v>2</v>
      </c>
      <c r="D26" s="61" t="n">
        <v>6</v>
      </c>
      <c r="E26" s="58">
        <f>IF(C26&lt;=1,1,IF(C26=2,2,3))</f>
        <v/>
      </c>
      <c r="F26" s="58">
        <f>IF(D26&lt;=4,1,IF(D26&lt;=15,2,3))</f>
        <v/>
      </c>
      <c r="G26" s="58">
        <f>INDEX(Weights!$A$18:$C$20,E26,F26)</f>
        <v/>
      </c>
      <c r="H26" s="62">
        <f>INDEX(Weights!$B$3:$D$7,MATCH(A26,Weights!$A$3:$A$7,0),MATCH(G26,Weights!$B$2:$D$2,0))</f>
        <v/>
      </c>
      <c r="I26" s="63" t="inlineStr">
        <is>
          <t>E3</t>
        </is>
      </c>
    </row>
    <row r="27" ht="15" customHeight="1" s="50">
      <c r="A27" s="58" t="inlineStr">
        <is>
          <t>EI</t>
        </is>
      </c>
      <c r="B27" s="58" t="inlineStr">
        <is>
          <t>Split a bout</t>
        </is>
      </c>
      <c r="C27" s="61" t="n">
        <v>2</v>
      </c>
      <c r="D27" s="61" t="n">
        <v>6</v>
      </c>
      <c r="E27" s="58">
        <f>IF(C27&lt;=1,1,IF(C27=2,2,3))</f>
        <v/>
      </c>
      <c r="F27" s="58">
        <f>IF(D27&lt;=4,1,IF(D27&lt;=15,2,3))</f>
        <v/>
      </c>
      <c r="G27" s="58">
        <f>INDEX(Weights!$A$18:$C$20,E27,F27)</f>
        <v/>
      </c>
      <c r="H27" s="62">
        <f>INDEX(Weights!$B$3:$D$7,MATCH(A27,Weights!$A$3:$A$7,0),MATCH(G27,Weights!$B$2:$D$2,0))</f>
        <v/>
      </c>
      <c r="I27" s="63" t="inlineStr">
        <is>
          <t>E4</t>
        </is>
      </c>
    </row>
    <row r="28" ht="15" customHeight="1" s="50">
      <c r="A28" s="58" t="inlineStr">
        <is>
          <t>EI</t>
        </is>
      </c>
      <c r="B28" s="58" t="inlineStr">
        <is>
          <t>Merge adjacent bouts</t>
        </is>
      </c>
      <c r="C28" s="61" t="n">
        <v>2</v>
      </c>
      <c r="D28" s="61" t="n">
        <v>6</v>
      </c>
      <c r="E28" s="58">
        <f>IF(C28&lt;=1,1,IF(C28=2,2,3))</f>
        <v/>
      </c>
      <c r="F28" s="58">
        <f>IF(D28&lt;=4,1,IF(D28&lt;=15,2,3))</f>
        <v/>
      </c>
      <c r="G28" s="58">
        <f>INDEX(Weights!$A$18:$C$20,E28,F28)</f>
        <v/>
      </c>
      <c r="H28" s="62">
        <f>INDEX(Weights!$B$3:$D$7,MATCH(A28,Weights!$A$3:$A$7,0),MATCH(G28,Weights!$B$2:$D$2,0))</f>
        <v/>
      </c>
      <c r="I28" s="63" t="inlineStr">
        <is>
          <t>E5</t>
        </is>
      </c>
    </row>
    <row r="29" ht="15" customHeight="1" s="50">
      <c r="A29" s="58" t="inlineStr">
        <is>
          <t>EI</t>
        </is>
      </c>
      <c r="B29" s="58" t="inlineStr">
        <is>
          <t>Exclude a bout</t>
        </is>
      </c>
      <c r="C29" s="61" t="n">
        <v>2</v>
      </c>
      <c r="D29" s="61" t="n">
        <v>4</v>
      </c>
      <c r="E29" s="58">
        <f>IF(C29&lt;=1,1,IF(C29=2,2,3))</f>
        <v/>
      </c>
      <c r="F29" s="58">
        <f>IF(D29&lt;=4,1,IF(D29&lt;=15,2,3))</f>
        <v/>
      </c>
      <c r="G29" s="58">
        <f>INDEX(Weights!$A$18:$C$20,E29,F29)</f>
        <v/>
      </c>
      <c r="H29" s="62">
        <f>INDEX(Weights!$B$3:$D$7,MATCH(A29,Weights!$A$3:$A$7,0),MATCH(G29,Weights!$B$2:$D$2,0))</f>
        <v/>
      </c>
      <c r="I29" s="63" t="inlineStr">
        <is>
          <t>E6</t>
        </is>
      </c>
    </row>
    <row r="30" ht="15" customHeight="1" s="50">
      <c r="A30" s="58" t="inlineStr">
        <is>
          <t>EI</t>
        </is>
      </c>
      <c r="B30" s="58" t="inlineStr">
        <is>
          <t>Approve segmentation</t>
        </is>
      </c>
      <c r="C30" s="61" t="n">
        <v>5</v>
      </c>
      <c r="D30" s="61" t="n">
        <v>10</v>
      </c>
      <c r="E30" s="58">
        <f>IF(C30&lt;=1,1,IF(C30=2,2,3))</f>
        <v/>
      </c>
      <c r="F30" s="58">
        <f>IF(D30&lt;=4,1,IF(D30&lt;=15,2,3))</f>
        <v/>
      </c>
      <c r="G30" s="58">
        <f>INDEX(Weights!$A$18:$C$20,E30,F30)</f>
        <v/>
      </c>
      <c r="H30" s="62">
        <f>INDEX(Weights!$B$3:$D$7,MATCH(A30,Weights!$A$3:$A$7,0),MATCH(G30,Weights!$B$2:$D$2,0))</f>
        <v/>
      </c>
      <c r="I30" s="63" t="inlineStr">
        <is>
          <t>E7 — the gate; also triggers the metrics write</t>
        </is>
      </c>
    </row>
    <row r="31" ht="15" customHeight="1" s="50">
      <c r="A31" s="58" t="inlineStr">
        <is>
          <t>EI</t>
        </is>
      </c>
      <c r="B31" s="58" t="inlineStr">
        <is>
          <t>Set clinician role</t>
        </is>
      </c>
      <c r="C31" s="61" t="n">
        <v>2</v>
      </c>
      <c r="D31" s="61" t="n">
        <v>4</v>
      </c>
      <c r="E31" s="58">
        <f>IF(C31&lt;=1,1,IF(C31=2,2,3))</f>
        <v/>
      </c>
      <c r="F31" s="58">
        <f>IF(D31&lt;=4,1,IF(D31&lt;=15,2,3))</f>
        <v/>
      </c>
      <c r="G31" s="58">
        <f>INDEX(Weights!$A$18:$C$20,E31,F31)</f>
        <v/>
      </c>
      <c r="H31" s="62">
        <f>INDEX(Weights!$B$3:$D$7,MATCH(A31,Weights!$A$3:$A$7,0),MATCH(G31,Weights!$B$2:$D$2,0))</f>
        <v/>
      </c>
      <c r="I31" s="63" t="inlineStr">
        <is>
          <t>A4 — custom claim, effective on next token refresh</t>
        </is>
      </c>
    </row>
    <row r="32" ht="15" customHeight="1" s="50">
      <c r="A32" s="58" t="inlineStr">
        <is>
          <t>EI</t>
        </is>
      </c>
      <c r="B32" s="58" t="inlineStr">
        <is>
          <t>Authenticate</t>
        </is>
      </c>
      <c r="C32" s="61" t="n">
        <v>1</v>
      </c>
      <c r="D32" s="61" t="n">
        <v>4</v>
      </c>
      <c r="E32" s="58">
        <f>IF(C32&lt;=1,1,IF(C32=2,2,3))</f>
        <v/>
      </c>
      <c r="F32" s="58">
        <f>IF(D32&lt;=4,1,IF(D32&lt;=15,2,3))</f>
        <v/>
      </c>
      <c r="G32" s="58">
        <f>INDEX(Weights!$A$18:$C$20,E32,F32)</f>
        <v/>
      </c>
      <c r="H32" s="62">
        <f>INDEX(Weights!$B$3:$D$7,MATCH(A32,Weights!$A$3:$A$7,0),MATCH(G32,Weights!$B$2:$D$2,0))</f>
        <v/>
      </c>
      <c r="I32" s="63" t="inlineStr">
        <is>
          <t>A1 — email and password against Firebase Auth</t>
        </is>
      </c>
    </row>
    <row r="33" ht="15" customHeight="1" s="50">
      <c r="A33" s="58" t="inlineStr">
        <is>
          <t>EO</t>
        </is>
      </c>
      <c r="B33" s="58" t="inlineStr">
        <is>
          <t>Mint V4 signed upload URL</t>
        </is>
      </c>
      <c r="C33" s="61" t="n">
        <v>1</v>
      </c>
      <c r="D33" s="61" t="n">
        <v>5</v>
      </c>
      <c r="E33" s="58">
        <f>IF(C33&lt;=1,1,IF(C33&lt;=3,2,3))</f>
        <v/>
      </c>
      <c r="F33" s="58">
        <f>IF(D33&lt;=5,1,IF(D33&lt;=19,2,3))</f>
        <v/>
      </c>
      <c r="G33" s="58">
        <f>INDEX(Weights!$A$24:$C$26,E33,F33)</f>
        <v/>
      </c>
      <c r="H33" s="62">
        <f>INDEX(Weights!$B$3:$D$7,MATCH(A33,Weights!$A$3:$A$7,0),MATCH(G33,Weights!$B$2:$D$2,0))</f>
        <v/>
      </c>
      <c r="I33" s="63" t="inlineStr">
        <is>
          <t>D1 — derived, signed, and sent outside the boundary</t>
        </is>
      </c>
    </row>
    <row r="34" ht="21.75" customHeight="1" s="50">
      <c r="A34" s="58" t="inlineStr">
        <is>
          <t>EO</t>
        </is>
      </c>
      <c r="B34" s="58" t="inlineStr">
        <is>
          <t>Calibration sufficiency report</t>
        </is>
      </c>
      <c r="C34" s="61" t="n">
        <v>2</v>
      </c>
      <c r="D34" s="61" t="n">
        <v>14</v>
      </c>
      <c r="E34" s="58">
        <f>IF(C34&lt;=1,1,IF(C34&lt;=3,2,3))</f>
        <v/>
      </c>
      <c r="F34" s="58">
        <f>IF(D34&lt;=5,1,IF(D34&lt;=19,2,3))</f>
        <v/>
      </c>
      <c r="G34" s="58">
        <f>INDEX(Weights!$A$24:$C$26,E34,F34)</f>
        <v/>
      </c>
      <c r="H34" s="62">
        <f>INDEX(Weights!$B$3:$D$7,MATCH(A34,Weights!$A$3:$A$7,0),MATCH(G34,Weights!$B$2:$D$2,0))</f>
        <v/>
      </c>
      <c r="I34" s="63" t="inlineStr">
        <is>
          <t>C2 — window and block counts per task against the 20-window threshold, with pass/fail</t>
        </is>
      </c>
    </row>
    <row r="35" ht="21.75" customHeight="1" s="50">
      <c r="A35" s="58" t="inlineStr">
        <is>
          <t>EO</t>
        </is>
      </c>
      <c r="B35" s="58" t="inlineStr">
        <is>
          <t>Predicted-difficulty band</t>
        </is>
      </c>
      <c r="C35" s="61" t="n">
        <v>1</v>
      </c>
      <c r="D35" s="61" t="n">
        <v>4</v>
      </c>
      <c r="E35" s="58">
        <f>IF(C35&lt;=1,1,IF(C35&lt;=3,2,3))</f>
        <v/>
      </c>
      <c r="F35" s="58">
        <f>IF(D35&lt;=5,1,IF(D35&lt;=19,2,3))</f>
        <v/>
      </c>
      <c r="G35" s="58">
        <f>INDEX(Weights!$A$24:$C$26,E35,F35)</f>
        <v/>
      </c>
      <c r="H35" s="62">
        <f>INDEX(Weights!$B$3:$D$7,MATCH(A35,Weights!$A$3:$A$7,0),MATCH(G35,Weights!$B$2:$D$2,0))</f>
        <v/>
      </c>
      <c r="I35" s="63" t="inlineStr">
        <is>
          <t>B4 — derived from the Mahalanobis distance already computed for C4</t>
        </is>
      </c>
    </row>
    <row r="36" ht="21.75" customHeight="1" s="50">
      <c r="A36" s="58" t="inlineStr">
        <is>
          <t>EO</t>
        </is>
      </c>
      <c r="B36" s="58" t="inlineStr">
        <is>
          <t>PDF export</t>
        </is>
      </c>
      <c r="C36" s="61" t="n">
        <v>5</v>
      </c>
      <c r="D36" s="61" t="n">
        <v>25</v>
      </c>
      <c r="E36" s="58">
        <f>IF(C36&lt;=1,1,IF(C36&lt;=3,2,3))</f>
        <v/>
      </c>
      <c r="F36" s="58">
        <f>IF(D36&lt;=5,1,IF(D36&lt;=19,2,3))</f>
        <v/>
      </c>
      <c r="G36" s="58">
        <f>INDEX(Weights!$A$24:$C$26,E36,F36)</f>
        <v/>
      </c>
      <c r="H36" s="62">
        <f>INDEX(Weights!$B$3:$D$7,MATCH(A36,Weights!$A$3:$A$7,0),MATCH(G36,Weights!$B$2:$D$2,0))</f>
        <v/>
      </c>
      <c r="I36" s="63" t="inlineStr">
        <is>
          <t>G1 — every field of the record plus model provenance and the intended-use statement</t>
        </is>
      </c>
    </row>
    <row r="37" ht="15" customHeight="1" s="50">
      <c r="A37" s="58" t="inlineStr">
        <is>
          <t>EQ</t>
        </is>
      </c>
      <c r="B37" s="58" t="inlineStr">
        <is>
          <t>List participants</t>
        </is>
      </c>
      <c r="C37" s="61" t="n">
        <v>1</v>
      </c>
      <c r="D37" s="61" t="n">
        <v>8</v>
      </c>
      <c r="E37" s="58">
        <f>IF(C37&lt;=1,1,IF(C37&lt;=3,2,3))</f>
        <v/>
      </c>
      <c r="F37" s="58">
        <f>IF(D37&lt;=5,1,IF(D37&lt;=19,2,3))</f>
        <v/>
      </c>
      <c r="G37" s="58">
        <f>INDEX(Weights!$A$24:$C$26,E37,F37)</f>
        <v/>
      </c>
      <c r="H37" s="62">
        <f>INDEX(Weights!$B$3:$D$7,MATCH(A37,Weights!$A$3:$A$7,0),MATCH(G37,Weights!$B$2:$D$2,0))</f>
        <v/>
      </c>
      <c r="I37" s="63" t="inlineStr">
        <is>
          <t>B2 — de-identified list view</t>
        </is>
      </c>
    </row>
    <row r="38" ht="21.75" customHeight="1" s="50">
      <c r="A38" s="58" t="inlineStr">
        <is>
          <t>EQ</t>
        </is>
      </c>
      <c r="B38" s="58" t="inlineStr">
        <is>
          <t>View participant detail</t>
        </is>
      </c>
      <c r="C38" s="61" t="n">
        <v>4</v>
      </c>
      <c r="D38" s="61" t="n">
        <v>22</v>
      </c>
      <c r="E38" s="58">
        <f>IF(C38&lt;=1,1,IF(C38&lt;=3,2,3))</f>
        <v/>
      </c>
      <c r="F38" s="58">
        <f>IF(D38&lt;=5,1,IF(D38&lt;=19,2,3))</f>
        <v/>
      </c>
      <c r="G38" s="58">
        <f>INDEX(Weights!$A$24:$C$26,E38,F38)</f>
        <v/>
      </c>
      <c r="H38" s="62">
        <f>INDEX(Weights!$B$3:$D$7,MATCH(A38,Weights!$A$3:$A$7,0),MATCH(G38,Weights!$B$2:$D$2,0))</f>
        <v/>
      </c>
      <c r="I38" s="63" t="inlineStr">
        <is>
          <t>B2-B4 — participant, calibration badges, session history, activity feed</t>
        </is>
      </c>
    </row>
    <row r="39" ht="15" customHeight="1" s="50">
      <c r="A39" s="58" t="inlineStr">
        <is>
          <t>EQ</t>
        </is>
      </c>
      <c r="B39" s="58" t="inlineStr">
        <is>
          <t>Get active calibration</t>
        </is>
      </c>
      <c r="C39" s="61" t="n">
        <v>1</v>
      </c>
      <c r="D39" s="61" t="n">
        <v>12</v>
      </c>
      <c r="E39" s="58">
        <f>IF(C39&lt;=1,1,IF(C39&lt;=3,2,3))</f>
        <v/>
      </c>
      <c r="F39" s="58">
        <f>IF(D39&lt;=5,1,IF(D39&lt;=19,2,3))</f>
        <v/>
      </c>
      <c r="G39" s="58">
        <f>INDEX(Weights!$A$24:$C$26,E39,F39)</f>
        <v/>
      </c>
      <c r="H39" s="62">
        <f>INDEX(Weights!$B$3:$D$7,MATCH(A39,Weights!$A$3:$A$7,0),MATCH(G39,Weights!$B$2:$D$2,0))</f>
        <v/>
      </c>
      <c r="I39" s="63" t="inlineStr">
        <is>
          <t>C5</t>
        </is>
      </c>
    </row>
    <row r="40" ht="15" customHeight="1" s="50">
      <c r="A40" s="58" t="inlineStr">
        <is>
          <t>EQ</t>
        </is>
      </c>
      <c r="B40" s="58" t="inlineStr">
        <is>
          <t>Get session bouts and review queue</t>
        </is>
      </c>
      <c r="C40" s="61" t="n">
        <v>2</v>
      </c>
      <c r="D40" s="61" t="n">
        <v>12</v>
      </c>
      <c r="E40" s="58">
        <f>IF(C40&lt;=1,1,IF(C40&lt;=3,2,3))</f>
        <v/>
      </c>
      <c r="F40" s="58">
        <f>IF(D40&lt;=5,1,IF(D40&lt;=19,2,3))</f>
        <v/>
      </c>
      <c r="G40" s="58">
        <f>INDEX(Weights!$A$24:$C$26,E40,F40)</f>
        <v/>
      </c>
      <c r="H40" s="62">
        <f>INDEX(Weights!$B$3:$D$7,MATCH(A40,Weights!$A$3:$A$7,0),MATCH(G40,Weights!$B$2:$D$2,0))</f>
        <v/>
      </c>
      <c r="I40" s="63" t="inlineStr">
        <is>
          <t>E1, E2 — ordered ascending by confidence</t>
        </is>
      </c>
    </row>
    <row r="41" ht="15" customHeight="1" s="50">
      <c r="A41" s="58" t="inlineStr">
        <is>
          <t>EQ</t>
        </is>
      </c>
      <c r="B41" s="58" t="inlineStr">
        <is>
          <t>Get metrics</t>
        </is>
      </c>
      <c r="C41" s="61" t="n">
        <v>2</v>
      </c>
      <c r="D41" s="61" t="n">
        <v>24</v>
      </c>
      <c r="E41" s="58">
        <f>IF(C41&lt;=1,1,IF(C41&lt;=3,2,3))</f>
        <v/>
      </c>
      <c r="F41" s="58">
        <f>IF(D41&lt;=5,1,IF(D41&lt;=19,2,3))</f>
        <v/>
      </c>
      <c r="G41" s="58">
        <f>INDEX(Weights!$A$24:$C$26,E41,F41)</f>
        <v/>
      </c>
      <c r="H41" s="62">
        <f>INDEX(Weights!$B$3:$D$7,MATCH(A41,Weights!$A$3:$A$7,0),MATCH(G41,Weights!$B$2:$D$2,0))</f>
        <v/>
      </c>
      <c r="I41" s="63" t="inlineStr">
        <is>
          <t>F2, F4</t>
        </is>
      </c>
    </row>
    <row r="42" ht="15" customHeight="1" s="50">
      <c r="A42" s="58" t="inlineStr">
        <is>
          <t>EQ</t>
        </is>
      </c>
      <c r="B42" s="58" t="inlineStr">
        <is>
          <t>Get current model card</t>
        </is>
      </c>
      <c r="C42" s="61" t="n">
        <v>1</v>
      </c>
      <c r="D42" s="61" t="n">
        <v>14</v>
      </c>
      <c r="E42" s="58">
        <f>IF(C42&lt;=1,1,IF(C42&lt;=3,2,3))</f>
        <v/>
      </c>
      <c r="F42" s="58">
        <f>IF(D42&lt;=5,1,IF(D42&lt;=19,2,3))</f>
        <v/>
      </c>
      <c r="G42" s="58">
        <f>INDEX(Weights!$A$24:$C$26,E42,F42)</f>
        <v/>
      </c>
      <c r="H42" s="62">
        <f>INDEX(Weights!$B$3:$D$7,MATCH(A42,Weights!$A$3:$A$7,0),MATCH(G42,Weights!$B$2:$D$2,0))</f>
        <v/>
      </c>
      <c r="I42" s="63" t="inlineStr">
        <is>
          <t>H1</t>
        </is>
      </c>
    </row>
    <row r="43" ht="15" customHeight="1" s="50">
      <c r="A43" s="58" t="inlineStr">
        <is>
          <t>EQ</t>
        </is>
      </c>
      <c r="B43" s="58" t="inlineStr">
        <is>
          <t>List clinicians</t>
        </is>
      </c>
      <c r="C43" s="61" t="n">
        <v>1</v>
      </c>
      <c r="D43" s="61" t="n">
        <v>6</v>
      </c>
      <c r="E43" s="58">
        <f>IF(C43&lt;=1,1,IF(C43&lt;=3,2,3))</f>
        <v/>
      </c>
      <c r="F43" s="58">
        <f>IF(D43&lt;=5,1,IF(D43&lt;=19,2,3))</f>
        <v/>
      </c>
      <c r="G43" s="58">
        <f>INDEX(Weights!$A$24:$C$26,E43,F43)</f>
        <v/>
      </c>
      <c r="H43" s="62">
        <f>INDEX(Weights!$B$3:$D$7,MATCH(A43,Weights!$A$3:$A$7,0),MATCH(G43,Weights!$B$2:$D$2,0))</f>
        <v/>
      </c>
      <c r="I43" s="63" t="inlineStr">
        <is>
          <t>A4</t>
        </is>
      </c>
    </row>
    <row r="44" ht="15" customHeight="1" s="50">
      <c r="A44" s="58" t="inlineStr">
        <is>
          <t>EQ</t>
        </is>
      </c>
      <c r="B44" s="58" t="inlineStr">
        <is>
          <t>Health check</t>
        </is>
      </c>
      <c r="C44" s="61" t="n">
        <v>1</v>
      </c>
      <c r="D44" s="61" t="n">
        <v>2</v>
      </c>
      <c r="E44" s="58">
        <f>IF(C44&lt;=1,1,IF(C44&lt;=3,2,3))</f>
        <v/>
      </c>
      <c r="F44" s="58">
        <f>IF(D44&lt;=5,1,IF(D44&lt;=19,2,3))</f>
        <v/>
      </c>
      <c r="G44" s="58">
        <f>INDEX(Weights!$A$24:$C$26,E44,F44)</f>
        <v/>
      </c>
      <c r="H44" s="62">
        <f>INDEX(Weights!$B$3:$D$7,MATCH(A44,Weights!$A$3:$A$7,0),MATCH(G44,Weights!$B$2:$D$2,0))</f>
        <v/>
      </c>
      <c r="I44" s="63" t="inlineStr">
        <is>
          <t>I-series operational endpoint</t>
        </is>
      </c>
    </row>
    <row r="45" ht="15" customHeight="1" s="50">
      <c r="B45" s="64" t="inlineStr">
        <is>
          <t>Transactional function points</t>
        </is>
      </c>
      <c r="H45" s="65">
        <f>SUM(H20:H44)</f>
        <v/>
      </c>
    </row>
    <row r="47" ht="15" customHeight="1" s="50">
      <c r="B47" s="56" t="inlineStr">
        <is>
          <t>UNADJUSTED FUNCTION POINTS (UFP)</t>
        </is>
      </c>
      <c r="H47" s="66">
        <f>H16+H45</f>
        <v/>
      </c>
    </row>
    <row r="49" ht="15" customHeight="1" s="50">
      <c r="B49" s="67" t="inlineStr">
        <is>
          <t>Subtotal, ILF</t>
        </is>
      </c>
      <c r="H49" s="67">
        <f>SUMIF($A$6:$A$44,"ILF",$H$6:$H$44)</f>
        <v/>
      </c>
      <c r="I49" s="59">
        <f>COUNTIF($A$6:$A$44,"ILF")&amp;" functions"</f>
        <v/>
      </c>
    </row>
    <row r="50" ht="15" customHeight="1" s="50">
      <c r="B50" s="67" t="inlineStr">
        <is>
          <t>Subtotal, EIF</t>
        </is>
      </c>
      <c r="H50" s="67">
        <f>SUMIF($A$6:$A$44,"EIF",$H$6:$H$44)</f>
        <v/>
      </c>
      <c r="I50" s="59">
        <f>COUNTIF($A$6:$A$44,"EIF")&amp;" functions"</f>
        <v/>
      </c>
    </row>
    <row r="51" ht="15" customHeight="1" s="50">
      <c r="B51" s="67" t="inlineStr">
        <is>
          <t>Subtotal, EI</t>
        </is>
      </c>
      <c r="H51" s="67">
        <f>SUMIF($A$6:$A$44,"EI",$H$6:$H$44)</f>
        <v/>
      </c>
      <c r="I51" s="59">
        <f>COUNTIF($A$6:$A$44,"EI")&amp;" functions"</f>
        <v/>
      </c>
    </row>
    <row r="52" ht="15" customHeight="1" s="50">
      <c r="B52" s="67" t="inlineStr">
        <is>
          <t>Subtotal, EO</t>
        </is>
      </c>
      <c r="H52" s="67">
        <f>SUMIF($A$6:$A$44,"EO",$H$6:$H$44)</f>
        <v/>
      </c>
      <c r="I52" s="59">
        <f>COUNTIF($A$6:$A$44,"EO")&amp;" functions"</f>
        <v/>
      </c>
    </row>
    <row r="53" ht="15" customHeight="1" s="50">
      <c r="B53" s="67" t="inlineStr">
        <is>
          <t>Subtotal, EQ</t>
        </is>
      </c>
      <c r="H53" s="67">
        <f>SUMIF($A$6:$A$44,"EQ",$H$6:$H$44)</f>
        <v/>
      </c>
      <c r="I53" s="59">
        <f>COUNTIF($A$6:$A$44,"EQ")&amp;" functions"</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49" min="1" max="1"/>
    <col width="34" customWidth="1" style="49" min="2" max="2"/>
    <col width="10" customWidth="1" style="49" min="3" max="3"/>
    <col width="78" customWidth="1" style="49" min="4" max="4"/>
  </cols>
  <sheetData>
    <row r="1" ht="17.25" customHeight="1" s="50">
      <c r="A1" s="60" t="inlineStr">
        <is>
          <t>Value Adjustment Factor — the 14 general system characteristics</t>
        </is>
      </c>
    </row>
    <row r="2" ht="334.5" customHeight="1" s="50">
      <c r="A2" s="52" t="inlineStr">
        <is>
          <t>Each rated 0 (not present) to 5 (strong influence throughout). The justification column is the part that carries the mark: a rating without a reason is a guess with a number attached.</t>
        </is>
      </c>
    </row>
    <row r="4" ht="15" customHeight="1" s="50">
      <c r="A4" s="57" t="inlineStr">
        <is>
          <t>#</t>
        </is>
      </c>
      <c r="B4" s="57" t="inlineStr">
        <is>
          <t>Characteristic</t>
        </is>
      </c>
      <c r="C4" s="57" t="inlineStr">
        <is>
          <t>Rating</t>
        </is>
      </c>
      <c r="D4" s="57" t="inlineStr">
        <is>
          <t>Justification</t>
        </is>
      </c>
    </row>
    <row r="5" ht="21.75" customHeight="1" s="50">
      <c r="A5" s="58" t="n">
        <v>1</v>
      </c>
      <c r="B5" s="58" t="inlineStr">
        <is>
          <t>Data communications</t>
        </is>
      </c>
      <c r="C5" s="61" t="n">
        <v>4</v>
      </c>
      <c r="D5" s="63" t="inlineStr">
        <is>
          <t>Browser to Cloud Run over HTTPS, and a second path from the browser direct to Cloud Storage over a signed URL. More than one communications protocol, both interactive.</t>
        </is>
      </c>
    </row>
    <row r="6" ht="21.75" customHeight="1" s="50">
      <c r="A6" s="58" t="n">
        <v>2</v>
      </c>
      <c r="B6" s="58" t="inlineStr">
        <is>
          <t>Distributed data processing</t>
        </is>
      </c>
      <c r="C6" s="61" t="n">
        <v>4</v>
      </c>
      <c r="D6" s="63" t="inlineStr">
        <is>
          <t>Processing is genuinely distributed: the upload bypasses the API, inference runs on Cloud Run, and persistence splits between Firestore and object storage by data shape.</t>
        </is>
      </c>
    </row>
    <row r="7" ht="21.75" customHeight="1" s="50">
      <c r="A7" s="58" t="n">
        <v>3</v>
      </c>
      <c r="B7" s="58" t="inlineStr">
        <is>
          <t>Performance</t>
        </is>
      </c>
      <c r="C7" s="61" t="n">
        <v>3</v>
      </c>
      <c r="D7" s="63" t="inlineStr">
        <is>
          <t>A stated and tested 30-second budget for a 10-minute session, with determinism pinned. Design and testing were affected; no response-time constraint drives the architecture.</t>
        </is>
      </c>
    </row>
    <row r="8" ht="21.75" customHeight="1" s="50">
      <c r="A8" s="58" t="n">
        <v>4</v>
      </c>
      <c r="B8" s="58" t="inlineStr">
        <is>
          <t>Heavily used configuration</t>
        </is>
      </c>
      <c r="C8" s="61" t="n">
        <v>2</v>
      </c>
      <c r="D8" s="63" t="inlineStr">
        <is>
          <t>Cloud Run sized at 2 GiB against a known pandas memory transient, but there is no operational constraint from an existing installation.</t>
        </is>
      </c>
    </row>
    <row r="9" ht="21.75" customHeight="1" s="50">
      <c r="A9" s="58" t="n">
        <v>5</v>
      </c>
      <c r="B9" s="58" t="inlineStr">
        <is>
          <t>Transaction rate</t>
        </is>
      </c>
      <c r="C9" s="61" t="n">
        <v>1</v>
      </c>
      <c r="D9" s="63" t="inlineStr">
        <is>
          <t>Deliberately low. Rate limited to 30 inferences per user per hour; batch analysis, not a transaction system.</t>
        </is>
      </c>
    </row>
    <row r="10" ht="15" customHeight="1" s="50">
      <c r="A10" s="58" t="n">
        <v>6</v>
      </c>
      <c r="B10" s="58" t="inlineStr">
        <is>
          <t>Online data entry</t>
        </is>
      </c>
      <c r="C10" s="61" t="n">
        <v>5</v>
      </c>
      <c r="D10" s="63" t="inlineStr">
        <is>
          <t>Every function is interactive. There is no batch entry path anywhere in the system.</t>
        </is>
      </c>
    </row>
    <row r="11" ht="21.75" customHeight="1" s="50">
      <c r="A11" s="58" t="n">
        <v>7</v>
      </c>
      <c r="B11" s="58" t="inlineStr">
        <is>
          <t>End-user efficiency</t>
        </is>
      </c>
      <c r="C11" s="61" t="n">
        <v>4</v>
      </c>
      <c r="D11" s="63" t="inlineStr">
        <is>
          <t>The review queue is ordered by confidence rather than time specifically to spend the clinician's attention where the model is least certain. Efficiency is a design objective, not a by-product.</t>
        </is>
      </c>
    </row>
    <row r="12" ht="21.75" customHeight="1" s="50">
      <c r="A12" s="58" t="n">
        <v>8</v>
      </c>
      <c r="B12" s="58" t="inlineStr">
        <is>
          <t>Online update</t>
        </is>
      </c>
      <c r="C12" s="61" t="n">
        <v>4</v>
      </c>
      <c r="D12" s="63" t="inlineStr">
        <is>
          <t>All internal logical files are updated online, and the audit log makes every update recoverable in the sense of being reconstructable.</t>
        </is>
      </c>
    </row>
    <row r="13" ht="32.25" customHeight="1" s="50">
      <c r="A13" s="58" t="n">
        <v>9</v>
      </c>
      <c r="B13" s="58" t="inlineStr">
        <is>
          <t>Complex processing</t>
        </is>
      </c>
      <c r="C13" s="61" t="n">
        <v>5</v>
      </c>
      <c r="D13" s="63" t="inlineStr">
        <is>
          <t>Extensive: 72-feature extraction with wavelet and frequency-domain terms, per-session z-scoring, a two-model soft-vote over ONNX graphs, majority-vote and minimum-dwell smoothing, a Mahalanobis out-of-distribution guard, and a co-contraction index with a defined null case.</t>
        </is>
      </c>
    </row>
    <row r="14" ht="21.75" customHeight="1" s="50">
      <c r="A14" s="58" t="n">
        <v>10</v>
      </c>
      <c r="B14" s="58" t="inlineStr">
        <is>
          <t>Reusability</t>
        </is>
      </c>
      <c r="C14" s="61" t="n">
        <v>2</v>
      </c>
      <c r="D14" s="63" t="inlineStr">
        <is>
          <t>The model-serving boundary is designed for reuse and the next model attaches there. The application itself is not built to be reused elsewhere.</t>
        </is>
      </c>
    </row>
    <row r="15" ht="21.75" customHeight="1" s="50">
      <c r="A15" s="58" t="n">
        <v>11</v>
      </c>
      <c r="B15" s="58" t="inlineStr">
        <is>
          <t>Installation ease</t>
        </is>
      </c>
      <c r="C15" s="61" t="n">
        <v>2</v>
      </c>
      <c r="D15" s="63" t="inlineStr">
        <is>
          <t>Deployment is automated through GitHub Actions and there is no data conversion, but installation was designed for and tested.</t>
        </is>
      </c>
    </row>
    <row r="16" ht="21.75" customHeight="1" s="50">
      <c r="A16" s="58" t="n">
        <v>12</v>
      </c>
      <c r="B16" s="58" t="inlineStr">
        <is>
          <t>Operational ease</t>
        </is>
      </c>
      <c r="C16" s="61" t="n">
        <v>3</v>
      </c>
      <c r="D16" s="63" t="inlineStr">
        <is>
          <t>Fully managed services, no operator procedures, no manual backup or recovery. Start-up and shutdown are the platform's.</t>
        </is>
      </c>
    </row>
    <row r="17" ht="15" customHeight="1" s="50">
      <c r="A17" s="58" t="n">
        <v>13</v>
      </c>
      <c r="B17" s="58" t="inlineStr">
        <is>
          <t>Multiple sites</t>
        </is>
      </c>
      <c r="C17" s="61" t="n">
        <v>1</v>
      </c>
      <c r="D17" s="63" t="inlineStr">
        <is>
          <t>One deployment, one lab. Multi-tenant isolation is explicitly out of scope and logged as TD-03.</t>
        </is>
      </c>
    </row>
    <row r="18" ht="21.75" customHeight="1" s="50">
      <c r="A18" s="58" t="n">
        <v>14</v>
      </c>
      <c r="B18" s="58" t="inlineStr">
        <is>
          <t>Facilitate change</t>
        </is>
      </c>
      <c r="C18" s="61" t="n">
        <v>3</v>
      </c>
      <c r="D18" s="63" t="inlineStr">
        <is>
          <t>The serving runtime is swapped by configuration and the montage contract is versioned, but there are no user-maintainable queries or business rules.</t>
        </is>
      </c>
    </row>
    <row r="19" ht="15" customHeight="1" s="50">
      <c r="B19" s="64" t="inlineStr">
        <is>
          <t>Total degree of influence (TDI)</t>
        </is>
      </c>
      <c r="C19" s="68">
        <f>SUM(C5:C18)</f>
        <v/>
      </c>
    </row>
    <row r="20" ht="15" customHeight="1" s="50">
      <c r="B20" s="64" t="inlineStr">
        <is>
          <t>Value adjustment factor  VAF = 0.65 + 0.01 x TDI</t>
        </is>
      </c>
      <c r="C20" s="69">
        <f>0.65+0.01*C19</f>
        <v/>
      </c>
    </row>
    <row r="21" ht="15" customHeight="1" s="50">
      <c r="B21" s="67" t="inlineStr">
        <is>
          <t>Unadjusted function points (from sheet 1)</t>
        </is>
      </c>
      <c r="C21" s="58">
        <f>'1 FPA'!$H$47</f>
        <v/>
      </c>
    </row>
    <row r="22" ht="15" customHeight="1" s="50">
      <c r="B22" s="56" t="inlineStr">
        <is>
          <t>ADJUSTED FUNCTION POINTS (AFP)</t>
        </is>
      </c>
      <c r="C22" s="66">
        <f>ROUND(C21*C20,0)</f>
        <v/>
      </c>
    </row>
    <row r="24" ht="15" customHeight="1" s="50">
      <c r="B24" s="64" t="inlineStr">
        <is>
          <t>Note on the VAF itself</t>
        </is>
      </c>
    </row>
    <row r="25" ht="45.75" customHeight="1" s="50">
      <c r="B25" s="52" t="inlineStr">
        <is>
          <t>IFPUG withdrew the VAF from the counting standard in CPM 4.3, on the grounds that the 14 characteristics overlap and are rated subjectively. It is retained here because the taught method requires it and because its range is bounded at 0.65 to 1.35 — it can move the count by a third at most, which is small beside the uncertainty in the backfiring ratio on sheet 3.</t>
        </is>
      </c>
    </row>
  </sheetData>
  <mergeCells count="1">
    <mergeCell ref="B25:D2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49" min="1" max="1"/>
    <col width="44" customWidth="1" style="49" min="2" max="2"/>
    <col width="14" customWidth="1" style="49" min="3" max="5"/>
    <col width="60" customWidth="1" style="49" min="6" max="6"/>
  </cols>
  <sheetData>
    <row r="1" ht="17.25" customHeight="1" s="50">
      <c r="A1" s="60" t="inlineStr">
        <is>
          <t>COCOMO 81 — backfired from the adjusted function point count</t>
        </is>
      </c>
    </row>
    <row r="2" ht="324.75" customHeight="1" s="50">
      <c r="A2" s="52" t="inlineStr">
        <is>
          <t>Function points are language independent. COCOMO is not: it takes source lines. The conversion between them is the weakest link in this chain and is isolated here so it can be argued with.</t>
        </is>
      </c>
    </row>
    <row r="4" ht="15" customHeight="1" s="50">
      <c r="B4" s="56" t="inlineStr">
        <is>
          <t>Backfiring to source lines</t>
        </is>
      </c>
    </row>
    <row r="5" ht="15" customHeight="1" s="50">
      <c r="A5" s="57" t="n"/>
      <c r="B5" s="57" t="inlineStr">
        <is>
          <t>Item</t>
        </is>
      </c>
      <c r="C5" s="57" t="inlineStr">
        <is>
          <t>Value</t>
        </is>
      </c>
      <c r="D5" s="57" t="inlineStr">
        <is>
          <t>Unit</t>
        </is>
      </c>
      <c r="E5" s="57" t="n"/>
      <c r="F5" s="57" t="inlineStr">
        <is>
          <t>Basis</t>
        </is>
      </c>
    </row>
    <row r="6" ht="15" customHeight="1" s="50">
      <c r="B6" s="58" t="inlineStr">
        <is>
          <t>Adjusted function points</t>
        </is>
      </c>
      <c r="C6" s="70">
        <f>'2 VAF'!$C$22</f>
        <v/>
      </c>
      <c r="D6" s="58" t="inlineStr">
        <is>
          <t>FP</t>
        </is>
      </c>
      <c r="F6" s="52" t="inlineStr">
        <is>
          <t>Sheet 2</t>
        </is>
      </c>
    </row>
    <row r="7" ht="15" customHeight="1" s="50">
      <c r="B7" s="58" t="inlineStr">
        <is>
          <t>Share implemented server-side (Python)</t>
        </is>
      </c>
      <c r="C7" s="71" t="n">
        <v>0.55</v>
      </c>
      <c r="D7" s="58" t="inlineStr">
        <is>
          <t>of FP</t>
        </is>
      </c>
      <c r="F7" s="52" t="inlineStr">
        <is>
          <t>Every data function and the heavy transactions are server-side. Editable.</t>
        </is>
      </c>
    </row>
    <row r="8" ht="15" customHeight="1" s="50">
      <c r="B8" s="58" t="inlineStr">
        <is>
          <t>Share implemented client-side (TypeScript)</t>
        </is>
      </c>
      <c r="C8" s="72">
        <f>1-C7</f>
        <v/>
      </c>
      <c r="D8" s="58" t="inlineStr">
        <is>
          <t>of FP</t>
        </is>
      </c>
      <c r="F8" s="52" t="inlineStr">
        <is>
          <t>Remainder.</t>
        </is>
      </c>
    </row>
    <row r="9" ht="15" customHeight="1" s="50">
      <c r="B9" s="58" t="inlineStr">
        <is>
          <t>Python source lines per function point</t>
        </is>
      </c>
      <c r="C9" s="73" t="n">
        <v>24</v>
      </c>
      <c r="D9" s="58" t="inlineStr">
        <is>
          <t>LOC/FP</t>
        </is>
      </c>
      <c r="F9" s="52" t="inlineStr">
        <is>
          <t>Commonly cited backfiring table (Jones). An approximation, not a measurement.</t>
        </is>
      </c>
    </row>
    <row r="10" ht="21.75" customHeight="1" s="50">
      <c r="B10" s="58" t="inlineStr">
        <is>
          <t>TypeScript source lines per function point</t>
        </is>
      </c>
      <c r="C10" s="73" t="n">
        <v>45</v>
      </c>
      <c r="D10" s="58" t="inlineStr">
        <is>
          <t>LOC/FP</t>
        </is>
      </c>
      <c r="F10" s="52" t="inlineStr">
        <is>
          <t>Approximated from the JavaScript figure of 47, adjusted slightly for type annotations.</t>
        </is>
      </c>
    </row>
    <row r="11" ht="15" customHeight="1" s="50">
      <c r="B11" s="58" t="inlineStr">
        <is>
          <t>Blended source lines per function point</t>
        </is>
      </c>
      <c r="C11" s="70">
        <f>C7*C9+C8*C10</f>
        <v/>
      </c>
      <c r="D11" s="58" t="inlineStr">
        <is>
          <t>LOC/FP</t>
        </is>
      </c>
      <c r="F11" s="52" t="inlineStr">
        <is>
          <t>Share-weighted.</t>
        </is>
      </c>
    </row>
    <row r="12" ht="15" customHeight="1" s="50">
      <c r="B12" s="58" t="inlineStr">
        <is>
          <t>Estimated size</t>
        </is>
      </c>
      <c r="C12" s="74">
        <f>C6*C11/1000</f>
        <v/>
      </c>
      <c r="D12" s="58" t="inlineStr">
        <is>
          <t>KLOC</t>
        </is>
      </c>
      <c r="F12" s="52" t="inlineStr">
        <is>
          <t>AFP x blended ratio, in thousands.</t>
        </is>
      </c>
    </row>
    <row r="14" ht="15" customHeight="1" s="50">
      <c r="B14" s="56" t="inlineStr">
        <is>
          <t>The three COCOMO 81 modes, for comparison</t>
        </is>
      </c>
    </row>
    <row r="15" ht="15" customHeight="1" s="50">
      <c r="A15" s="57" t="n"/>
      <c r="B15" s="57" t="inlineStr">
        <is>
          <t>Mode</t>
        </is>
      </c>
      <c r="C15" s="57" t="inlineStr">
        <is>
          <t>a</t>
        </is>
      </c>
      <c r="D15" s="57" t="inlineStr">
        <is>
          <t>b</t>
        </is>
      </c>
      <c r="E15" s="57" t="inlineStr">
        <is>
          <t>Effort (PM)</t>
        </is>
      </c>
      <c r="F15" s="57" t="inlineStr">
        <is>
          <t>Why this mode was or was not chosen</t>
        </is>
      </c>
    </row>
    <row r="16" ht="32.25" customHeight="1" s="50">
      <c r="B16" s="62" t="inlineStr">
        <is>
          <t>Organic</t>
        </is>
      </c>
      <c r="C16" s="61" t="n">
        <v>2.4</v>
      </c>
      <c r="D16" s="61" t="n">
        <v>1.05</v>
      </c>
      <c r="E16" s="75">
        <f>C16*($C$12^D16)</f>
        <v/>
      </c>
      <c r="F16" s="52" t="inlineStr">
        <is>
          <t>One developer, a familiar problem domain, requirements the developer controls, no hardware coupling and no rigid external interface. Every condition Boehm sets for organic is met. CHOSEN.</t>
        </is>
      </c>
    </row>
    <row r="17" ht="21.75" customHeight="1" s="50">
      <c r="B17" s="58" t="inlineStr">
        <is>
          <t>Semi-detached</t>
        </is>
      </c>
      <c r="C17" s="61" t="n">
        <v>3</v>
      </c>
      <c r="D17" s="61" t="n">
        <v>1.12</v>
      </c>
      <c r="E17" s="70">
        <f>C17*($C$12^D17)</f>
        <v/>
      </c>
      <c r="F17" s="52" t="inlineStr">
        <is>
          <t>Would require a mixed-experience team and a moderate degree of external constraint. Neither applies to a single-developer project.</t>
        </is>
      </c>
    </row>
    <row r="18" ht="21.75" customHeight="1" s="50">
      <c r="B18" s="58" t="inlineStr">
        <is>
          <t>Embedded</t>
        </is>
      </c>
      <c r="C18" s="61" t="n">
        <v>3.6</v>
      </c>
      <c r="D18" s="61" t="n">
        <v>1.2</v>
      </c>
      <c r="E18" s="70">
        <f>C18*($C$12^D18)</f>
        <v/>
      </c>
      <c r="F18" s="52" t="inlineStr">
        <is>
          <t>Would require tight hardware, regulatory or interface constraints. MyoLens is explicitly not a medical device and has no real-time coupling.</t>
        </is>
      </c>
    </row>
    <row r="20" ht="15" customHeight="1" s="50">
      <c r="B20" s="56" t="inlineStr">
        <is>
          <t>Organic result</t>
        </is>
      </c>
    </row>
    <row r="21" ht="15" customHeight="1" s="50">
      <c r="B21" s="58" t="inlineStr">
        <is>
          <t>Effort  E = 2.4 x KLOC^1.05</t>
        </is>
      </c>
      <c r="C21" s="70">
        <f>$E$16</f>
        <v/>
      </c>
      <c r="D21" s="58" t="inlineStr">
        <is>
          <t>person-months</t>
        </is>
      </c>
    </row>
    <row r="22" ht="15" customHeight="1" s="50">
      <c r="B22" s="58" t="inlineStr">
        <is>
          <t>Nominal schedule  TDEV = 2.5 x E^0.38</t>
        </is>
      </c>
      <c r="C22" s="70">
        <f>2.5*($E$16^0.38)</f>
        <v/>
      </c>
      <c r="D22" s="58" t="inlineStr">
        <is>
          <t>months</t>
        </is>
      </c>
    </row>
    <row r="23" ht="15" customHeight="1" s="50">
      <c r="B23" s="58" t="inlineStr">
        <is>
          <t>Implied average staffing  E / TDEV</t>
        </is>
      </c>
      <c r="C23" s="70">
        <f>C21/C22</f>
        <v/>
      </c>
      <c r="D23" s="58" t="inlineStr">
        <is>
          <t>people</t>
        </is>
      </c>
    </row>
    <row r="24" ht="15" customHeight="1" s="50">
      <c r="B24" s="58" t="inlineStr">
        <is>
          <t>Effort in hours  (152 h per person-month)</t>
        </is>
      </c>
      <c r="C24" s="76">
        <f>C21*152</f>
        <v/>
      </c>
      <c r="D24" s="58" t="inlineStr">
        <is>
          <t>person-hours</t>
        </is>
      </c>
    </row>
    <row r="25" ht="15" customHeight="1" s="50">
      <c r="B25" s="58" t="inlineStr">
        <is>
          <t>Available development hours in the examination</t>
        </is>
      </c>
      <c r="C25" s="77" t="n">
        <v>34</v>
      </c>
      <c r="D25" s="58" t="inlineStr">
        <is>
          <t>person-hours</t>
        </is>
      </c>
    </row>
    <row r="26" ht="15" customHeight="1" s="50">
      <c r="B26" s="58" t="inlineStr">
        <is>
          <t>Available hours in total (48-hour window)</t>
        </is>
      </c>
      <c r="C26" s="77" t="n">
        <v>48</v>
      </c>
      <c r="D26" s="58" t="inlineStr">
        <is>
          <t>person-hours</t>
        </is>
      </c>
    </row>
    <row r="27" ht="15" customHeight="1" s="50">
      <c r="B27" s="58" t="inlineStr">
        <is>
          <t>COCOMO effort as a multiple of the development budget</t>
        </is>
      </c>
      <c r="C27" s="78">
        <f>C24/C25</f>
        <v/>
      </c>
      <c r="D27" s="58" t="inlineStr">
        <is>
          <t>x</t>
        </is>
      </c>
    </row>
    <row r="28" ht="15" customHeight="1" s="50">
      <c r="B28" s="58" t="inlineStr">
        <is>
          <t>COCOMO effort as a multiple of the whole window</t>
        </is>
      </c>
      <c r="C28" s="78">
        <f>C24/C26</f>
        <v/>
      </c>
      <c r="D28" s="58" t="inlineStr">
        <is>
          <t>x</t>
        </is>
      </c>
    </row>
    <row r="30" ht="15" customHeight="1" s="50">
      <c r="B30" s="64" t="inlineStr">
        <is>
          <t>On the provenance of the coefficients</t>
        </is>
      </c>
    </row>
    <row r="31" ht="79.5" customHeight="1" s="50">
      <c r="B31" s="52" t="inlineStr">
        <is>
          <t>The pair 2.4 and 1.05 was calibrated on 63 projects completed between 1964 and 1979, almost all of them procedural, waterfall, and written from scratch. MyoLens is component-based: a managed identity service, a managed document store, a managed runtime, a pre-trained model treated as a dependency, and a component library on the front end. COCOMO II exists precisely because that kind of construction breaks the original model's assumptions, and its Application Composition and Early Design modes are the appropriate instruments. COCOMO 81 is retained here for comparability with the taught method, with two consequences stated openly: the absolute figure is not credible, and the uncertainty is carried by the PERT range on sheet 4 rather than by this number.</t>
        </is>
      </c>
    </row>
  </sheetData>
  <mergeCells count="1">
    <mergeCell ref="B31:F3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J7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49" min="1" max="1"/>
    <col width="46" customWidth="1" style="49" min="2" max="2"/>
    <col width="9" customWidth="1" style="49" min="3" max="5"/>
    <col width="80" customWidth="1" style="50" min="4" max="4"/>
    <col width="11" customWidth="1" style="49" min="6" max="6"/>
    <col width="10" customWidth="1" style="49" min="7" max="7"/>
    <col width="11" customWidth="1" style="49" min="8" max="8"/>
    <col width="9" customWidth="1" style="49" min="9" max="9"/>
    <col width="30" customWidth="1" style="49" min="10" max="10"/>
  </cols>
  <sheetData>
    <row r="1" ht="17.25" customHeight="1" s="50">
      <c r="A1" s="60" t="inlineStr">
        <is>
          <t>PERT over the work breakdown — the cross-check on COCOMO</t>
        </is>
      </c>
    </row>
    <row r="2" ht="355.5" customHeight="1" s="50">
      <c r="A2" s="52" t="inlineStr">
        <is>
          <t>E = (O + 4M + P) / 6 per leaf task; SD = (P - O) / 6. Summing expected values is valid; summing standard deviations is not, so variances are summed and the root taken at the bottom. O, M and P are in developer-hours and are the only judgement calls in this workbook — edit them.</t>
        </is>
      </c>
    </row>
    <row r="4" ht="15" customHeight="1" s="50">
      <c r="A4" s="57" t="inlineStr">
        <is>
          <t>ID</t>
        </is>
      </c>
      <c r="B4" s="57" t="inlineStr">
        <is>
          <t>Task</t>
        </is>
      </c>
      <c r="C4" s="57" t="inlineStr">
        <is>
          <t>O</t>
        </is>
      </c>
      <c r="D4" s="57" t="inlineStr">
        <is>
          <t>M</t>
        </is>
      </c>
      <c r="E4" s="57" t="inlineStr">
        <is>
          <t>P</t>
        </is>
      </c>
      <c r="F4" s="57" t="inlineStr">
        <is>
          <t>Expected</t>
        </is>
      </c>
      <c r="G4" s="57" t="inlineStr">
        <is>
          <t>SD</t>
        </is>
      </c>
      <c r="H4" s="57" t="inlineStr">
        <is>
          <t>Variance</t>
        </is>
      </c>
      <c r="I4" s="57" t="inlineStr">
        <is>
          <t>Ladder</t>
        </is>
      </c>
      <c r="J4" s="57" t="inlineStr">
        <is>
          <t>Phase</t>
        </is>
      </c>
    </row>
    <row r="5" ht="15" customHeight="1" s="50">
      <c r="A5" s="58" t="inlineStr">
        <is>
          <t>T01</t>
        </is>
      </c>
      <c r="B5" s="58" t="inlineStr">
        <is>
          <t>Repository, CI skeleton and SATD register check</t>
        </is>
      </c>
      <c r="C5" s="79" t="n">
        <v>1</v>
      </c>
      <c r="D5" s="79" t="n">
        <v>1.5</v>
      </c>
      <c r="E5" s="79" t="n">
        <v>3</v>
      </c>
      <c r="F5" s="70">
        <f>(C5+4*D5+E5)/6</f>
        <v/>
      </c>
      <c r="G5" s="80">
        <f>(E5-C5)/6</f>
        <v/>
      </c>
      <c r="H5" s="80">
        <f>G5^2</f>
        <v/>
      </c>
      <c r="I5" s="81" t="n"/>
      <c r="J5" s="82" t="inlineStr">
        <is>
          <t>2 Foundations</t>
        </is>
      </c>
    </row>
    <row r="6" ht="15" customHeight="1" s="50">
      <c r="A6" s="58" t="inlineStr">
        <is>
          <t>T02</t>
        </is>
      </c>
      <c r="B6" s="58" t="inlineStr">
        <is>
          <t>First deploy: Cloud Run service and Firebase Hosting</t>
        </is>
      </c>
      <c r="C6" s="79" t="n">
        <v>0.5</v>
      </c>
      <c r="D6" s="79" t="n">
        <v>1</v>
      </c>
      <c r="E6" s="79" t="n">
        <v>2.5</v>
      </c>
      <c r="F6" s="70">
        <f>(C6+4*D6+E6)/6</f>
        <v/>
      </c>
      <c r="G6" s="80">
        <f>(E6-C6)/6</f>
        <v/>
      </c>
      <c r="H6" s="80">
        <f>G6^2</f>
        <v/>
      </c>
      <c r="I6" s="81" t="n"/>
      <c r="J6" s="82" t="inlineStr">
        <is>
          <t>2 Foundations</t>
        </is>
      </c>
    </row>
    <row r="7" ht="15" customHeight="1" s="50">
      <c r="A7" s="58" t="inlineStr">
        <is>
          <t>T03</t>
        </is>
      </c>
      <c r="B7" s="58" t="inlineStr">
        <is>
          <t>Firestore security rules and rules tests</t>
        </is>
      </c>
      <c r="C7" s="79" t="n">
        <v>1</v>
      </c>
      <c r="D7" s="79" t="n">
        <v>1.5</v>
      </c>
      <c r="E7" s="79" t="n">
        <v>3</v>
      </c>
      <c r="F7" s="70">
        <f>(C7+4*D7+E7)/6</f>
        <v/>
      </c>
      <c r="G7" s="80">
        <f>(E7-C7)/6</f>
        <v/>
      </c>
      <c r="H7" s="80">
        <f>G7^2</f>
        <v/>
      </c>
      <c r="I7" s="81" t="n"/>
      <c r="J7" s="82" t="inlineStr">
        <is>
          <t>2 Foundations</t>
        </is>
      </c>
    </row>
    <row r="8" ht="15" customHeight="1" s="50">
      <c r="A8" s="58" t="inlineStr">
        <is>
          <t>T04</t>
        </is>
      </c>
      <c r="B8" s="58" t="inlineStr">
        <is>
          <t>Auth wiring, ID-token verification, role claims</t>
        </is>
      </c>
      <c r="C8" s="79" t="n">
        <v>1</v>
      </c>
      <c r="D8" s="79" t="n">
        <v>2</v>
      </c>
      <c r="E8" s="79" t="n">
        <v>4</v>
      </c>
      <c r="F8" s="70">
        <f>(C8+4*D8+E8)/6</f>
        <v/>
      </c>
      <c r="G8" s="80">
        <f>(E8-C8)/6</f>
        <v/>
      </c>
      <c r="H8" s="80">
        <f>G8^2</f>
        <v/>
      </c>
      <c r="I8" s="81" t="n"/>
      <c r="J8" s="82" t="inlineStr">
        <is>
          <t>3 Build</t>
        </is>
      </c>
    </row>
    <row r="9" ht="15" customHeight="1" s="50">
      <c r="A9" s="58" t="inlineStr">
        <is>
          <t>T05</t>
        </is>
      </c>
      <c r="B9" s="58" t="inlineStr">
        <is>
          <t>Participant create, list, edit, soft-delete</t>
        </is>
      </c>
      <c r="C9" s="79" t="n">
        <v>1</v>
      </c>
      <c r="D9" s="79" t="n">
        <v>1.5</v>
      </c>
      <c r="E9" s="79" t="n">
        <v>2.5</v>
      </c>
      <c r="F9" s="70">
        <f>(C9+4*D9+E9)/6</f>
        <v/>
      </c>
      <c r="G9" s="80">
        <f>(E9-C9)/6</f>
        <v/>
      </c>
      <c r="H9" s="80">
        <f>G9^2</f>
        <v/>
      </c>
      <c r="I9" s="81" t="n"/>
      <c r="J9" s="82" t="inlineStr">
        <is>
          <t>3 Build</t>
        </is>
      </c>
    </row>
    <row r="10" ht="15" customHeight="1" s="50">
      <c r="A10" s="58" t="inlineStr">
        <is>
          <t>T06</t>
        </is>
      </c>
      <c r="B10" s="58" t="inlineStr">
        <is>
          <t>Admin clinician management</t>
        </is>
      </c>
      <c r="C10" s="79" t="n">
        <v>0.5</v>
      </c>
      <c r="D10" s="79" t="n">
        <v>0.75</v>
      </c>
      <c r="E10" s="79" t="n">
        <v>1.5</v>
      </c>
      <c r="F10" s="70">
        <f>(C10+4*D10+E10)/6</f>
        <v/>
      </c>
      <c r="G10" s="80">
        <f>(E10-C10)/6</f>
        <v/>
      </c>
      <c r="H10" s="80">
        <f>G10^2</f>
        <v/>
      </c>
      <c r="I10" s="62" t="n">
        <v>1</v>
      </c>
      <c r="J10" s="82" t="inlineStr">
        <is>
          <t>3 Build</t>
        </is>
      </c>
    </row>
    <row r="11" ht="15" customHeight="1" s="50">
      <c r="A11" s="58" t="inlineStr">
        <is>
          <t>T07</t>
        </is>
      </c>
      <c r="B11" s="58" t="inlineStr">
        <is>
          <t>Signed-URL minting endpoint</t>
        </is>
      </c>
      <c r="C11" s="79" t="n">
        <v>0.5</v>
      </c>
      <c r="D11" s="79" t="n">
        <v>1</v>
      </c>
      <c r="E11" s="79" t="n">
        <v>2</v>
      </c>
      <c r="F11" s="70">
        <f>(C11+4*D11+E11)/6</f>
        <v/>
      </c>
      <c r="G11" s="80">
        <f>(E11-C11)/6</f>
        <v/>
      </c>
      <c r="H11" s="80">
        <f>G11^2</f>
        <v/>
      </c>
      <c r="I11" s="81" t="n"/>
      <c r="J11" s="82" t="inlineStr">
        <is>
          <t>3 Build</t>
        </is>
      </c>
    </row>
    <row r="12" ht="15" customHeight="1" s="50">
      <c r="A12" s="58" t="inlineStr">
        <is>
          <t>T08</t>
        </is>
      </c>
      <c r="B12" s="58" t="inlineStr">
        <is>
          <t>CSV ingest, montage validation, windowing</t>
        </is>
      </c>
      <c r="C12" s="79" t="n">
        <v>1.5</v>
      </c>
      <c r="D12" s="79" t="n">
        <v>2.5</v>
      </c>
      <c r="E12" s="79" t="n">
        <v>5</v>
      </c>
      <c r="F12" s="70">
        <f>(C12+4*D12+E12)/6</f>
        <v/>
      </c>
      <c r="G12" s="80">
        <f>(E12-C12)/6</f>
        <v/>
      </c>
      <c r="H12" s="80">
        <f>G12^2</f>
        <v/>
      </c>
      <c r="I12" s="81" t="n"/>
      <c r="J12" s="82" t="inlineStr">
        <is>
          <t>3 Build</t>
        </is>
      </c>
    </row>
    <row r="13" ht="15" customHeight="1" s="50">
      <c r="A13" s="58" t="inlineStr">
        <is>
          <t>T09</t>
        </is>
      </c>
      <c r="B13" s="58" t="inlineStr">
        <is>
          <t>Freq-72 feature extraction port</t>
        </is>
      </c>
      <c r="C13" s="79" t="n">
        <v>1</v>
      </c>
      <c r="D13" s="79" t="n">
        <v>2</v>
      </c>
      <c r="E13" s="79" t="n">
        <v>4.5</v>
      </c>
      <c r="F13" s="70">
        <f>(C13+4*D13+E13)/6</f>
        <v/>
      </c>
      <c r="G13" s="80">
        <f>(E13-C13)/6</f>
        <v/>
      </c>
      <c r="H13" s="80">
        <f>G13^2</f>
        <v/>
      </c>
      <c r="I13" s="81" t="n"/>
      <c r="J13" s="82" t="inlineStr">
        <is>
          <t>3 Build</t>
        </is>
      </c>
    </row>
    <row r="14" ht="15" customHeight="1" s="50">
      <c r="A14" s="58" t="inlineStr">
        <is>
          <t>T10</t>
        </is>
      </c>
      <c r="B14" s="58" t="inlineStr">
        <is>
          <t>Calibration sufficiency and percent-CAL reference</t>
        </is>
      </c>
      <c r="C14" s="79" t="n">
        <v>1</v>
      </c>
      <c r="D14" s="79" t="n">
        <v>1.5</v>
      </c>
      <c r="E14" s="79" t="n">
        <v>3</v>
      </c>
      <c r="F14" s="70">
        <f>(C14+4*D14+E14)/6</f>
        <v/>
      </c>
      <c r="G14" s="80">
        <f>(E14-C14)/6</f>
        <v/>
      </c>
      <c r="H14" s="80">
        <f>G14^2</f>
        <v/>
      </c>
      <c r="I14" s="81" t="n"/>
      <c r="J14" s="82" t="inlineStr">
        <is>
          <t>3 Build</t>
        </is>
      </c>
    </row>
    <row r="15" ht="15" customHeight="1" s="50">
      <c r="A15" s="58" t="inlineStr">
        <is>
          <t>T11</t>
        </is>
      </c>
      <c r="B15" s="58" t="inlineStr">
        <is>
          <t>OOD guard (Mahalanobis distance and threshold)</t>
        </is>
      </c>
      <c r="C15" s="79" t="n">
        <v>0.75</v>
      </c>
      <c r="D15" s="79" t="n">
        <v>1.25</v>
      </c>
      <c r="E15" s="79" t="n">
        <v>2.5</v>
      </c>
      <c r="F15" s="70">
        <f>(C15+4*D15+E15)/6</f>
        <v/>
      </c>
      <c r="G15" s="80">
        <f>(E15-C15)/6</f>
        <v/>
      </c>
      <c r="H15" s="80">
        <f>G15^2</f>
        <v/>
      </c>
      <c r="I15" s="81" t="n"/>
      <c r="J15" s="82" t="inlineStr">
        <is>
          <t>3 Build</t>
        </is>
      </c>
    </row>
    <row r="16" ht="15" customHeight="1" s="50">
      <c r="A16" s="58" t="inlineStr">
        <is>
          <t>T12</t>
        </is>
      </c>
      <c r="B16" s="58" t="inlineStr">
        <is>
          <t>Predicted-difficulty band</t>
        </is>
      </c>
      <c r="C16" s="79" t="n">
        <v>0.25</v>
      </c>
      <c r="D16" s="79" t="n">
        <v>0.5</v>
      </c>
      <c r="E16" s="79" t="n">
        <v>1</v>
      </c>
      <c r="F16" s="70">
        <f>(C16+4*D16+E16)/6</f>
        <v/>
      </c>
      <c r="G16" s="80">
        <f>(E16-C16)/6</f>
        <v/>
      </c>
      <c r="H16" s="80">
        <f>G16^2</f>
        <v/>
      </c>
      <c r="I16" s="62" t="n">
        <v>4</v>
      </c>
      <c r="J16" s="82" t="inlineStr">
        <is>
          <t>3 Build</t>
        </is>
      </c>
    </row>
    <row r="17" ht="15" customHeight="1" s="50">
      <c r="A17" s="58" t="inlineStr">
        <is>
          <t>T13</t>
        </is>
      </c>
      <c r="B17" s="58" t="inlineStr">
        <is>
          <t>Predictor interface and ONNX runtime adapter</t>
        </is>
      </c>
      <c r="C17" s="79" t="n">
        <v>1</v>
      </c>
      <c r="D17" s="79" t="n">
        <v>1.5</v>
      </c>
      <c r="E17" s="79" t="n">
        <v>3.5</v>
      </c>
      <c r="F17" s="70">
        <f>(C17+4*D17+E17)/6</f>
        <v/>
      </c>
      <c r="G17" s="80">
        <f>(E17-C17)/6</f>
        <v/>
      </c>
      <c r="H17" s="80">
        <f>G17^2</f>
        <v/>
      </c>
      <c r="I17" s="81" t="n"/>
      <c r="J17" s="82" t="inlineStr">
        <is>
          <t>3 Build</t>
        </is>
      </c>
    </row>
    <row r="18" ht="15" customHeight="1" s="50">
      <c r="A18" s="58" t="inlineStr">
        <is>
          <t>T14</t>
        </is>
      </c>
      <c r="B18" s="58" t="inlineStr">
        <is>
          <t>Smoothing, bout construction and review flags</t>
        </is>
      </c>
      <c r="C18" s="79" t="n">
        <v>1.5</v>
      </c>
      <c r="D18" s="79" t="n">
        <v>2.5</v>
      </c>
      <c r="E18" s="79" t="n">
        <v>5</v>
      </c>
      <c r="F18" s="70">
        <f>(C18+4*D18+E18)/6</f>
        <v/>
      </c>
      <c r="G18" s="80">
        <f>(E18-C18)/6</f>
        <v/>
      </c>
      <c r="H18" s="80">
        <f>G18^2</f>
        <v/>
      </c>
      <c r="I18" s="81" t="n"/>
      <c r="J18" s="82" t="inlineStr">
        <is>
          <t>3 Build</t>
        </is>
      </c>
    </row>
    <row r="19" ht="15" customHeight="1" s="50">
      <c r="A19" s="58" t="inlineStr">
        <is>
          <t>T15</t>
        </is>
      </c>
      <c r="B19" s="58" t="inlineStr">
        <is>
          <t>Segmentation endpoint end to end</t>
        </is>
      </c>
      <c r="C19" s="79" t="n">
        <v>1</v>
      </c>
      <c r="D19" s="79" t="n">
        <v>1.5</v>
      </c>
      <c r="E19" s="79" t="n">
        <v>3</v>
      </c>
      <c r="F19" s="70">
        <f>(C19+4*D19+E19)/6</f>
        <v/>
      </c>
      <c r="G19" s="80">
        <f>(E19-C19)/6</f>
        <v/>
      </c>
      <c r="H19" s="80">
        <f>G19^2</f>
        <v/>
      </c>
      <c r="I19" s="81" t="n"/>
      <c r="J19" s="82" t="inlineStr">
        <is>
          <t>3 Build</t>
        </is>
      </c>
    </row>
    <row r="20" ht="15" customHeight="1" s="50">
      <c r="A20" s="58" t="inlineStr">
        <is>
          <t>T16</t>
        </is>
      </c>
      <c r="B20" s="58" t="inlineStr">
        <is>
          <t>Timeline component</t>
        </is>
      </c>
      <c r="C20" s="79" t="n">
        <v>2</v>
      </c>
      <c r="D20" s="79" t="n">
        <v>3</v>
      </c>
      <c r="E20" s="79" t="n">
        <v>6</v>
      </c>
      <c r="F20" s="70">
        <f>(C20+4*D20+E20)/6</f>
        <v/>
      </c>
      <c r="G20" s="80">
        <f>(E20-C20)/6</f>
        <v/>
      </c>
      <c r="H20" s="80">
        <f>G20^2</f>
        <v/>
      </c>
      <c r="I20" s="81" t="n"/>
      <c r="J20" s="82" t="inlineStr">
        <is>
          <t>3 Build</t>
        </is>
      </c>
    </row>
    <row r="21" ht="15" customHeight="1" s="50">
      <c r="A21" s="58" t="inlineStr">
        <is>
          <t>T17</t>
        </is>
      </c>
      <c r="B21" s="58" t="inlineStr">
        <is>
          <t>Bout list, relabel and exclude</t>
        </is>
      </c>
      <c r="C21" s="79" t="n">
        <v>1</v>
      </c>
      <c r="D21" s="79" t="n">
        <v>1.5</v>
      </c>
      <c r="E21" s="79" t="n">
        <v>3</v>
      </c>
      <c r="F21" s="70">
        <f>(C21+4*D21+E21)/6</f>
        <v/>
      </c>
      <c r="G21" s="80">
        <f>(E21-C21)/6</f>
        <v/>
      </c>
      <c r="H21" s="80">
        <f>G21^2</f>
        <v/>
      </c>
      <c r="I21" s="81" t="n"/>
      <c r="J21" s="82" t="inlineStr">
        <is>
          <t>3 Build</t>
        </is>
      </c>
    </row>
    <row r="22" ht="15" customHeight="1" s="50">
      <c r="A22" s="58" t="inlineStr">
        <is>
          <t>T18</t>
        </is>
      </c>
      <c r="B22" s="58" t="inlineStr">
        <is>
          <t>Split and merge</t>
        </is>
      </c>
      <c r="C22" s="79" t="n">
        <v>1</v>
      </c>
      <c r="D22" s="79" t="n">
        <v>1.5</v>
      </c>
      <c r="E22" s="79" t="n">
        <v>3.5</v>
      </c>
      <c r="F22" s="70">
        <f>(C22+4*D22+E22)/6</f>
        <v/>
      </c>
      <c r="G22" s="80">
        <f>(E22-C22)/6</f>
        <v/>
      </c>
      <c r="H22" s="80">
        <f>G22^2</f>
        <v/>
      </c>
      <c r="I22" s="62" t="n">
        <v>3</v>
      </c>
      <c r="J22" s="82" t="inlineStr">
        <is>
          <t>3 Build</t>
        </is>
      </c>
    </row>
    <row r="23" ht="15" customHeight="1" s="50">
      <c r="A23" s="58" t="inlineStr">
        <is>
          <t>T19</t>
        </is>
      </c>
      <c r="B23" s="58" t="inlineStr">
        <is>
          <t>Approval gate and audit writes</t>
        </is>
      </c>
      <c r="C23" s="79" t="n">
        <v>0.75</v>
      </c>
      <c r="D23" s="79" t="n">
        <v>1.25</v>
      </c>
      <c r="E23" s="79" t="n">
        <v>2.5</v>
      </c>
      <c r="F23" s="70">
        <f>(C23+4*D23+E23)/6</f>
        <v/>
      </c>
      <c r="G23" s="80">
        <f>(E23-C23)/6</f>
        <v/>
      </c>
      <c r="H23" s="80">
        <f>G23^2</f>
        <v/>
      </c>
      <c r="I23" s="81" t="n"/>
      <c r="J23" s="82" t="inlineStr">
        <is>
          <t>3 Build</t>
        </is>
      </c>
    </row>
    <row r="24" ht="15" customHeight="1" s="50">
      <c r="A24" s="58" t="inlineStr">
        <is>
          <t>T20</t>
        </is>
      </c>
      <c r="B24" s="58" t="inlineStr">
        <is>
          <t>Metric computation: amplitude, duty cycle, both CCIs</t>
        </is>
      </c>
      <c r="C24" s="79" t="n">
        <v>1.5</v>
      </c>
      <c r="D24" s="79" t="n">
        <v>2</v>
      </c>
      <c r="E24" s="79" t="n">
        <v>4</v>
      </c>
      <c r="F24" s="70">
        <f>(C24+4*D24+E24)/6</f>
        <v/>
      </c>
      <c r="G24" s="80">
        <f>(E24-C24)/6</f>
        <v/>
      </c>
      <c r="H24" s="80">
        <f>G24^2</f>
        <v/>
      </c>
      <c r="I24" s="81" t="n"/>
      <c r="J24" s="82" t="inlineStr">
        <is>
          <t>3 Build</t>
        </is>
      </c>
    </row>
    <row r="25" ht="15" customHeight="1" s="50">
      <c r="A25" s="58" t="inlineStr">
        <is>
          <t>T21</t>
        </is>
      </c>
      <c r="B25" s="58" t="inlineStr">
        <is>
          <t>Results screen</t>
        </is>
      </c>
      <c r="C25" s="79" t="n">
        <v>1</v>
      </c>
      <c r="D25" s="79" t="n">
        <v>1.5</v>
      </c>
      <c r="E25" s="79" t="n">
        <v>3</v>
      </c>
      <c r="F25" s="70">
        <f>(C25+4*D25+E25)/6</f>
        <v/>
      </c>
      <c r="G25" s="80">
        <f>(E25-C25)/6</f>
        <v/>
      </c>
      <c r="H25" s="80">
        <f>G25^2</f>
        <v/>
      </c>
      <c r="I25" s="81" t="n"/>
      <c r="J25" s="82" t="inlineStr">
        <is>
          <t>3 Build</t>
        </is>
      </c>
    </row>
    <row r="26" ht="15" customHeight="1" s="50">
      <c r="A26" s="58" t="inlineStr">
        <is>
          <t>T22</t>
        </is>
      </c>
      <c r="B26" s="58" t="inlineStr">
        <is>
          <t>PDF export</t>
        </is>
      </c>
      <c r="C26" s="79" t="n">
        <v>1</v>
      </c>
      <c r="D26" s="79" t="n">
        <v>1.5</v>
      </c>
      <c r="E26" s="79" t="n">
        <v>3.5</v>
      </c>
      <c r="F26" s="70">
        <f>(C26+4*D26+E26)/6</f>
        <v/>
      </c>
      <c r="G26" s="80">
        <f>(E26-C26)/6</f>
        <v/>
      </c>
      <c r="H26" s="80">
        <f>G26^2</f>
        <v/>
      </c>
      <c r="I26" s="62" t="n">
        <v>2</v>
      </c>
      <c r="J26" s="82" t="inlineStr">
        <is>
          <t>3 Build</t>
        </is>
      </c>
    </row>
    <row r="27" ht="15" customHeight="1" s="50">
      <c r="A27" s="58" t="inlineStr">
        <is>
          <t>T23</t>
        </is>
      </c>
      <c r="B27" s="58" t="inlineStr">
        <is>
          <t>Model card page and registry read</t>
        </is>
      </c>
      <c r="C27" s="79" t="n">
        <v>0.5</v>
      </c>
      <c r="D27" s="79" t="n">
        <v>0.75</v>
      </c>
      <c r="E27" s="79" t="n">
        <v>1.5</v>
      </c>
      <c r="F27" s="70">
        <f>(C27+4*D27+E27)/6</f>
        <v/>
      </c>
      <c r="G27" s="80">
        <f>(E27-C27)/6</f>
        <v/>
      </c>
      <c r="H27" s="80">
        <f>G27^2</f>
        <v/>
      </c>
      <c r="I27" s="62" t="n">
        <v>5</v>
      </c>
      <c r="J27" s="82" t="inlineStr">
        <is>
          <t>3 Build</t>
        </is>
      </c>
    </row>
    <row r="28" ht="15" customHeight="1" s="50">
      <c r="A28" s="58" t="inlineStr">
        <is>
          <t>T24</t>
        </is>
      </c>
      <c r="B28" s="58" t="inlineStr">
        <is>
          <t>Rate limiting</t>
        </is>
      </c>
      <c r="C28" s="79" t="n">
        <v>0.25</v>
      </c>
      <c r="D28" s="79" t="n">
        <v>0.5</v>
      </c>
      <c r="E28" s="79" t="n">
        <v>1</v>
      </c>
      <c r="F28" s="70">
        <f>(C28+4*D28+E28)/6</f>
        <v/>
      </c>
      <c r="G28" s="80">
        <f>(E28-C28)/6</f>
        <v/>
      </c>
      <c r="H28" s="80">
        <f>G28^2</f>
        <v/>
      </c>
      <c r="I28" s="62" t="n">
        <v>6</v>
      </c>
      <c r="J28" s="82" t="inlineStr">
        <is>
          <t>3 Build</t>
        </is>
      </c>
    </row>
    <row r="29" ht="15" customHeight="1" s="50">
      <c r="A29" s="58" t="inlineStr">
        <is>
          <t>T25</t>
        </is>
      </c>
      <c r="B29" s="58" t="inlineStr">
        <is>
          <t>Error boundary and refusal states</t>
        </is>
      </c>
      <c r="C29" s="79" t="n">
        <v>0.75</v>
      </c>
      <c r="D29" s="79" t="n">
        <v>1</v>
      </c>
      <c r="E29" s="79" t="n">
        <v>2</v>
      </c>
      <c r="F29" s="70">
        <f>(C29+4*D29+E29)/6</f>
        <v/>
      </c>
      <c r="G29" s="80">
        <f>(E29-C29)/6</f>
        <v/>
      </c>
      <c r="H29" s="80">
        <f>G29^2</f>
        <v/>
      </c>
      <c r="I29" s="81" t="n"/>
      <c r="J29" s="82" t="inlineStr">
        <is>
          <t>4 Hardening</t>
        </is>
      </c>
    </row>
    <row r="30" ht="15" customHeight="1" s="50">
      <c r="A30" s="58" t="inlineStr">
        <is>
          <t>T26</t>
        </is>
      </c>
      <c r="B30" s="58" t="inlineStr">
        <is>
          <t>Responsive pass and contrast check</t>
        </is>
      </c>
      <c r="C30" s="79" t="n">
        <v>0.5</v>
      </c>
      <c r="D30" s="79" t="n">
        <v>1</v>
      </c>
      <c r="E30" s="79" t="n">
        <v>2</v>
      </c>
      <c r="F30" s="70">
        <f>(C30+4*D30+E30)/6</f>
        <v/>
      </c>
      <c r="G30" s="80">
        <f>(E30-C30)/6</f>
        <v/>
      </c>
      <c r="H30" s="80">
        <f>G30^2</f>
        <v/>
      </c>
      <c r="I30" s="81" t="n"/>
      <c r="J30" s="82" t="inlineStr">
        <is>
          <t>4 Hardening</t>
        </is>
      </c>
    </row>
    <row r="31" ht="15" customHeight="1" s="50">
      <c r="B31" s="56" t="inlineStr">
        <is>
          <t>MUST SET — expected effort, standard deviation</t>
        </is>
      </c>
      <c r="F31" s="83">
        <f>SUM(F5:F30)</f>
        <v/>
      </c>
      <c r="G31" s="84">
        <f>SQRT(H31)</f>
        <v/>
      </c>
      <c r="H31" s="84">
        <f>SUM(H5:H30)</f>
        <v/>
      </c>
    </row>
    <row r="33" ht="15" customHeight="1" s="50">
      <c r="B33" s="56" t="inlineStr">
        <is>
          <t>What the range says</t>
        </is>
      </c>
    </row>
    <row r="34" ht="15" customHeight="1" s="50">
      <c r="B34" s="67" t="inlineStr">
        <is>
          <t>Available development hours</t>
        </is>
      </c>
      <c r="F34" s="85">
        <f>'3 COCOMO'!$C$25</f>
        <v/>
      </c>
    </row>
    <row r="35" ht="15" customHeight="1" s="50">
      <c r="B35" s="67" t="inlineStr">
        <is>
          <t>Expected effort, full Must set</t>
        </is>
      </c>
      <c r="F35" s="85">
        <f>$F$31</f>
        <v/>
      </c>
    </row>
    <row r="36" ht="15" customHeight="1" s="50">
      <c r="B36" s="67" t="inlineStr">
        <is>
          <t>Overrun at the expected value</t>
        </is>
      </c>
      <c r="F36" s="85">
        <f>$F$31-'3 COCOMO'!$C$25</f>
        <v/>
      </c>
    </row>
    <row r="37" ht="15" customHeight="1" s="50">
      <c r="B37" s="67" t="inlineStr">
        <is>
          <t>Probability the full Must set fits in the budget</t>
        </is>
      </c>
      <c r="F37" s="86">
        <f>NORMDIST('3 COCOMO'!$C$25,$F$31,$G$31,TRUE())</f>
        <v/>
      </c>
    </row>
    <row r="38" ht="15" customHeight="1" s="50">
      <c r="B38" s="67" t="inlineStr">
        <is>
          <t>Effort at 80 percent confidence  E + 0.84 x SD</t>
        </is>
      </c>
      <c r="F38" s="85">
        <f>$F$31+0.84*$G$31</f>
        <v/>
      </c>
    </row>
    <row r="39" ht="15" customHeight="1" s="50">
      <c r="B39" s="67" t="inlineStr">
        <is>
          <t>Cone-of-uncertainty band at requirements-defined, 0.5x to 2x</t>
        </is>
      </c>
      <c r="F39" s="85">
        <f>$F$31*0.5</f>
        <v/>
      </c>
      <c r="G39" s="59" t="inlineStr">
        <is>
          <t>to</t>
        </is>
      </c>
      <c r="H39" s="85">
        <f>$F$31*2</f>
        <v/>
      </c>
    </row>
    <row r="41" ht="15" customHeight="1" s="50">
      <c r="B41" s="56" t="inlineStr">
        <is>
          <t>The de-scope ladder, costed</t>
        </is>
      </c>
    </row>
    <row r="42" ht="32.25" customHeight="1" s="50">
      <c r="B42" s="52" t="inlineStr">
        <is>
          <t>The ladder in section 7 of the plan is an ordering. These are its prices. Cutting is cumulative and top-down, without renegotiation, at hour 28.</t>
        </is>
      </c>
    </row>
    <row r="43" ht="15" customHeight="1" s="50">
      <c r="A43" s="57" t="n"/>
      <c r="B43" s="57" t="inlineStr">
        <is>
          <t>Rung</t>
        </is>
      </c>
      <c r="C43" s="57" t="inlineStr">
        <is>
          <t>Item</t>
        </is>
      </c>
      <c r="D43" s="57" t="inlineStr">
        <is>
          <t>Saves (h)</t>
        </is>
      </c>
      <c r="E43" s="57" t="inlineStr">
        <is>
          <t>Cumulative saving</t>
        </is>
      </c>
      <c r="F43" s="57" t="inlineStr">
        <is>
          <t>Remaining effort</t>
        </is>
      </c>
      <c r="G43" s="57" t="inlineStr">
        <is>
          <t>Fits in budget?</t>
        </is>
      </c>
    </row>
    <row r="44" ht="15" customHeight="1" s="50">
      <c r="B44" s="58" t="n">
        <v>1</v>
      </c>
      <c r="C44" s="58" t="inlineStr">
        <is>
          <t>Admin clinician management (A4)</t>
        </is>
      </c>
      <c r="D44" s="70">
        <f>SUMIF($I$5:$I$30,B44,$F$5:$F$30)</f>
        <v/>
      </c>
      <c r="E44" s="70">
        <f>SUMIF($I$5:$I$30,"&lt;="&amp;B44,$F$5:$F$30)</f>
        <v/>
      </c>
      <c r="F44" s="70">
        <f>$F$31-E44</f>
        <v/>
      </c>
      <c r="G44" s="58">
        <f>IF(F44&lt;='3 COCOMO'!$C$25,"Yes","No, still over by "&amp;TEXT(F44-'3 COCOMO'!$C$25,"0.0")&amp;" h")</f>
        <v/>
      </c>
    </row>
    <row r="45" ht="15" customHeight="1" s="50">
      <c r="B45" s="58" t="n">
        <v>2</v>
      </c>
      <c r="C45" s="58" t="inlineStr">
        <is>
          <t>PDF export (G1)</t>
        </is>
      </c>
      <c r="D45" s="70">
        <f>SUMIF($I$5:$I$30,B45,$F$5:$F$30)</f>
        <v/>
      </c>
      <c r="E45" s="70">
        <f>SUMIF($I$5:$I$30,"&lt;="&amp;B45,$F$5:$F$30)</f>
        <v/>
      </c>
      <c r="F45" s="70">
        <f>$F$31-E45</f>
        <v/>
      </c>
      <c r="G45" s="58">
        <f>IF(F45&lt;='3 COCOMO'!$C$25,"Yes","No, still over by "&amp;TEXT(F45-'3 COCOMO'!$C$25,"0.0")&amp;" h")</f>
        <v/>
      </c>
    </row>
    <row r="46" ht="15" customHeight="1" s="50">
      <c r="B46" s="58" t="n">
        <v>3</v>
      </c>
      <c r="C46" s="58" t="inlineStr">
        <is>
          <t>Split and merge (E4, E5)</t>
        </is>
      </c>
      <c r="D46" s="70">
        <f>SUMIF($I$5:$I$30,B46,$F$5:$F$30)</f>
        <v/>
      </c>
      <c r="E46" s="70">
        <f>SUMIF($I$5:$I$30,"&lt;="&amp;B46,$F$5:$F$30)</f>
        <v/>
      </c>
      <c r="F46" s="70">
        <f>$F$31-E46</f>
        <v/>
      </c>
      <c r="G46" s="58">
        <f>IF(F46&lt;='3 COCOMO'!$C$25,"Yes","No, still over by "&amp;TEXT(F46-'3 COCOMO'!$C$25,"0.0")&amp;" h")</f>
        <v/>
      </c>
    </row>
    <row r="47" ht="15" customHeight="1" s="50">
      <c r="B47" s="58" t="n">
        <v>4</v>
      </c>
      <c r="C47" s="58" t="inlineStr">
        <is>
          <t>Predicted-difficulty band (B4)</t>
        </is>
      </c>
      <c r="D47" s="70">
        <f>SUMIF($I$5:$I$30,B47,$F$5:$F$30)</f>
        <v/>
      </c>
      <c r="E47" s="70">
        <f>SUMIF($I$5:$I$30,"&lt;="&amp;B47,$F$5:$F$30)</f>
        <v/>
      </c>
      <c r="F47" s="70">
        <f>$F$31-E47</f>
        <v/>
      </c>
      <c r="G47" s="58">
        <f>IF(F47&lt;='3 COCOMO'!$C$25,"Yes","No, still over by "&amp;TEXT(F47-'3 COCOMO'!$C$25,"0.0")&amp;" h")</f>
        <v/>
      </c>
    </row>
    <row r="48" ht="15" customHeight="1" s="50">
      <c r="B48" s="58" t="n">
        <v>5</v>
      </c>
      <c r="C48" s="58" t="inlineStr">
        <is>
          <t>Model card page (H1)</t>
        </is>
      </c>
      <c r="D48" s="70">
        <f>SUMIF($I$5:$I$30,B48,$F$5:$F$30)</f>
        <v/>
      </c>
      <c r="E48" s="70">
        <f>SUMIF($I$5:$I$30,"&lt;="&amp;B48,$F$5:$F$30)</f>
        <v/>
      </c>
      <c r="F48" s="70">
        <f>$F$31-E48</f>
        <v/>
      </c>
      <c r="G48" s="58">
        <f>IF(F48&lt;='3 COCOMO'!$C$25,"Yes","No, still over by "&amp;TEXT(F48-'3 COCOMO'!$C$25,"0.0")&amp;" h")</f>
        <v/>
      </c>
    </row>
    <row r="49" ht="15" customHeight="1" s="50">
      <c r="B49" s="58" t="n">
        <v>6</v>
      </c>
      <c r="C49" s="58" t="inlineStr">
        <is>
          <t>Rate limiting (I3)</t>
        </is>
      </c>
      <c r="D49" s="70">
        <f>SUMIF($I$5:$I$30,B49,$F$5:$F$30)</f>
        <v/>
      </c>
      <c r="E49" s="70">
        <f>SUMIF($I$5:$I$30,"&lt;="&amp;B49,$F$5:$F$30)</f>
        <v/>
      </c>
      <c r="F49" s="70">
        <f>$F$31-E49</f>
        <v/>
      </c>
      <c r="G49" s="58">
        <f>IF(F49&lt;='3 COCOMO'!$C$25,"Yes","No, still over by "&amp;TEXT(F49-'3 COCOMO'!$C$25,"0.0")&amp;" h")</f>
        <v/>
      </c>
    </row>
    <row r="51" ht="15" customHeight="1" s="50">
      <c r="B51" s="67" t="inlineStr">
        <is>
          <t>Residual variance once the whole ladder has executed</t>
        </is>
      </c>
      <c r="F51" s="87">
        <f>$H$31-SUMIF($I$5:$I$30,"&lt;=6",$H$5:$H$30)</f>
        <v/>
      </c>
    </row>
    <row r="52" ht="15" customHeight="1" s="50">
      <c r="B52" s="64" t="inlineStr">
        <is>
          <t>Probability the fully de-scoped set fits</t>
        </is>
      </c>
      <c r="F52" s="88">
        <f>NORMDIST('3 COCOMO'!$C$25,'4 PERT'!$F$49,SQRT(F51),TRUE())</f>
        <v/>
      </c>
    </row>
    <row r="54">
      <c r="A54" s="89" t="inlineStr">
        <is>
          <t>Estimate vs actual — reconstructed from the commit history</t>
        </is>
      </c>
    </row>
    <row r="55">
      <c r="A55" s="90" t="inlineStr">
        <is>
          <t>Sheet 5 says the actuals should be logged per phase as they happen, not reconstructed at the end. They were not logged, so this is the reconstruction, and its weaknesses are the argument for the original instruction.</t>
        </is>
      </c>
    </row>
    <row r="57">
      <c r="A57" s="89" t="inlineStr">
        <is>
          <t>Measure</t>
        </is>
      </c>
      <c r="B57" s="89" t="inlineStr">
        <is>
          <t>Value</t>
        </is>
      </c>
      <c r="C57" s="89" t="inlineStr">
        <is>
          <t>Unit</t>
        </is>
      </c>
      <c r="D57" s="89" t="inlineStr">
        <is>
          <t>Basis</t>
        </is>
      </c>
    </row>
    <row r="58">
      <c r="A58" t="inlineStr">
        <is>
          <t>Wall-clock span, first commit to last</t>
        </is>
      </c>
      <c r="B58" t="n">
        <v>41.3</v>
      </c>
      <c r="C58" t="inlineStr">
        <is>
          <t>h</t>
        </is>
      </c>
      <c r="D58" s="90" t="inlineStr">
        <is>
          <t>08-13 19:39 to 08-15 12:56, author dates preserved through the history rewrite. Inside the 48-hour window.</t>
        </is>
      </c>
    </row>
    <row r="59">
      <c r="A59" t="inlineStr">
        <is>
          <t>Commits in the window</t>
        </is>
      </c>
      <c r="B59" t="n">
        <v>31</v>
      </c>
      <c r="C59" t="inlineStr">
        <is>
          <t>count</t>
        </is>
      </c>
      <c r="D59" s="90" t="inlineStr">
        <is>
          <t>git log, excluding the post-submission audit work.</t>
        </is>
      </c>
    </row>
    <row r="60">
      <c r="A60" t="inlineStr">
        <is>
          <t>Median gap between commits</t>
        </is>
      </c>
      <c r="B60" t="n">
        <v>18</v>
      </c>
      <c r="C60" t="inlineStr">
        <is>
          <t>min</t>
        </is>
      </c>
      <c r="D60" s="90" t="inlineStr">
        <is>
          <t>Half of all commits land within 18 minutes of the previous one.</t>
        </is>
      </c>
    </row>
    <row r="61">
      <c r="A61" t="inlineStr">
        <is>
          <t>Gaps longer than 90 minutes</t>
        </is>
      </c>
      <c r="B61" t="n">
        <v>7</v>
      </c>
      <c r="C61" t="inlineStr">
        <is>
          <t>count</t>
        </is>
      </c>
      <c r="D61" s="90" t="inlineStr">
        <is>
          <t>Sleep and breaks: 41, 174, 200, 209, 215, 278, 304 and 729 minutes.</t>
        </is>
      </c>
    </row>
    <row r="62">
      <c r="A62" t="inlineStr">
        <is>
          <t>Active effort, 60-minute gap cap</t>
        </is>
      </c>
      <c r="B62" t="n">
        <v>13.9</v>
      </c>
      <c r="C62" t="inlineStr">
        <is>
          <t>h</t>
        </is>
      </c>
      <c r="D62" s="90" t="inlineStr">
        <is>
          <t>Lower bound. Any pause over an hour counted as one hour.</t>
        </is>
      </c>
    </row>
    <row r="63">
      <c r="A63" t="inlineStr">
        <is>
          <t>Active effort, 90-minute gap cap</t>
        </is>
      </c>
      <c r="B63" t="n">
        <v>17.4</v>
      </c>
      <c r="C63" t="inlineStr">
        <is>
          <t>h</t>
        </is>
      </c>
      <c r="D63" s="90" t="inlineStr">
        <is>
          <t>Central estimate.</t>
        </is>
      </c>
    </row>
    <row r="64">
      <c r="A64" t="inlineStr">
        <is>
          <t>Active effort, 240-minute gap cap</t>
        </is>
      </c>
      <c r="B64" t="n">
        <v>32.2</v>
      </c>
      <c r="C64" t="inlineStr">
        <is>
          <t>h</t>
        </is>
      </c>
      <c r="D64" s="90" t="inlineStr">
        <is>
          <t>Upper bound. Only the 729-minute overnight gap is capped.</t>
        </is>
      </c>
    </row>
    <row r="65">
      <c r="A65" t="inlineStr">
        <is>
          <t>PERT expected effort, full Must set</t>
        </is>
      </c>
      <c r="B65" t="n">
        <v>42.29</v>
      </c>
      <c r="C65" t="inlineStr">
        <is>
          <t>h</t>
        </is>
      </c>
      <c r="D65" s="90" t="inlineStr">
        <is>
          <t>Sheet 4, 26 leaf tasks.</t>
        </is>
      </c>
    </row>
    <row r="66">
      <c r="A66" t="inlineStr">
        <is>
          <t>PERT expected, after the full de-scope ladder</t>
        </is>
      </c>
      <c r="B66" t="n">
        <v>36.04</v>
      </c>
      <c r="C66" t="inlineStr">
        <is>
          <t>h</t>
        </is>
      </c>
      <c r="D66" s="90" t="inlineStr">
        <is>
          <t>Sheet 4. Every rung was in fact built.</t>
        </is>
      </c>
    </row>
    <row r="67">
      <c r="A67" t="inlineStr">
        <is>
          <t>Available development hours</t>
        </is>
      </c>
      <c r="B67" t="n">
        <v>34</v>
      </c>
      <c r="C67" t="inlineStr">
        <is>
          <t>h</t>
        </is>
      </c>
      <c r="D67" s="90" t="inlineStr">
        <is>
          <t>Phases 2 to 5 of the plan.</t>
        </is>
      </c>
    </row>
    <row r="69">
      <c r="A69" s="89" t="inlineStr">
        <is>
          <t>What the comparison says</t>
        </is>
      </c>
    </row>
    <row r="70">
      <c r="A70" s="90" t="inlineStr">
        <is>
          <t>PERT expected 42.3 hours for the Must set and gave it a 0.0008% chance of fitting in 34. The full Must set shipped, and so did all six de-scope rungs, plus work that was never priced at all (Firestore rules with an emulator suite, a performance test, an idle timeout, responsive breakpoints).</t>
        </is>
      </c>
    </row>
    <row r="71">
      <c r="A71" s="90" t="inlineStr">
        <is>
          <t>Against a central estimate of 17.4 active hours, PERT over-estimated by roughly 2.4x. Even the upper bound of 32.2 hours sits below the 36.0 the fully de-scoped set was costed at.</t>
        </is>
      </c>
    </row>
    <row r="72">
      <c r="A72" s="90" t="inlineStr">
        <is>
          <t>Three reasons the estimate ran high, in order of how much they explain. First, the leaf tasks were priced as if each were built from nothing, when most were composition over managed services -- which is the same objection COCOMO 81 faces on sheet 3, arriving by a different route. Second, the optimistic figures were set conservatively: a three-point estimate is only as good as its O, and O was treated as 'if it goes well' rather than 'if nothing goes wrong'. Third, the frozen contracts removed the decision cost that usually dominates: montage, class set and metric set were settled before the clock started, so build time was typing rather than deliberating.</t>
        </is>
      </c>
    </row>
    <row r="73">
      <c r="A73" s="90" t="inlineStr">
        <is>
          <t>The measurement is weak in a way worth naming rather than hiding. Commit intervals see only work that ends in a commit: the SRS took hours and lands as a five-minute interval because it was drafted before the commit that carries it, which is why the per-phase split below is indicative and the total is a range. The lesson is exactly the one sheet 5 stated in advance -- had a timer been kept per phase, this would be one number instead of a bracket, and the estimating error could have been attributed to specific tasks rather than to the model as a whole.</t>
        </is>
      </c>
    </row>
    <row r="74">
      <c r="A74" s="90" t="inlineStr">
        <is>
          <t>The honest conclusion is not that PERT was 'wrong'. A range whose lower bound is 13.9 and whose upper is 32.2 does not cleanly refute a 42.3-hour expectation, and a single project is one sample. What it does support is the narrower claim the reconciliation on sheet 5 already makes: the absolute figures from both models are not credible for work of this shape, and the value of the exercise was the de-scope ladder it forced, not the numbers it produced.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4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49" min="1" max="1"/>
    <col width="52" customWidth="1" style="49" min="2" max="2"/>
    <col width="16" customWidth="1" style="49" min="3" max="3"/>
    <col width="14" customWidth="1" style="49" min="4" max="4"/>
    <col width="60" customWidth="1" style="49" min="5" max="5"/>
  </cols>
  <sheetData>
    <row r="1" ht="17.25" customHeight="1" s="50">
      <c r="B1" s="60" t="inlineStr">
        <is>
          <t>Reconciliation — what the two methods say, and what was done about the gap</t>
        </is>
      </c>
    </row>
    <row r="2" ht="32.25" customHeight="1" s="50">
      <c r="B2" s="52" t="inlineStr">
        <is>
          <t>The five marks are not for producing a number. They are for noticing that the two numbers disagree by two orders of magnitude and saying what was changed as a result.</t>
        </is>
      </c>
    </row>
    <row r="4" ht="15" customHeight="1" s="50">
      <c r="B4" s="56" t="inlineStr">
        <is>
          <t>The two estimates, side by side</t>
        </is>
      </c>
    </row>
    <row r="5" ht="15" customHeight="1" s="50">
      <c r="A5" s="57" t="n"/>
      <c r="B5" s="57" t="inlineStr">
        <is>
          <t>Figure</t>
        </is>
      </c>
      <c r="C5" s="57" t="inlineStr">
        <is>
          <t>Value</t>
        </is>
      </c>
      <c r="D5" s="57" t="inlineStr">
        <is>
          <t>Unit</t>
        </is>
      </c>
      <c r="E5" s="57" t="inlineStr">
        <is>
          <t>Source</t>
        </is>
      </c>
    </row>
    <row r="6" ht="15" customHeight="1" s="50">
      <c r="B6" s="58" t="inlineStr">
        <is>
          <t>Unadjusted function points</t>
        </is>
      </c>
      <c r="C6" s="91">
        <f>'1 FPA'!$H$47</f>
        <v/>
      </c>
      <c r="D6" s="58" t="inlineStr">
        <is>
          <t>FP</t>
        </is>
      </c>
      <c r="E6" s="63" t="inlineStr">
        <is>
          <t>Sheet 1 — counted from the frozen scope</t>
        </is>
      </c>
    </row>
    <row r="7" ht="15" customHeight="1" s="50">
      <c r="B7" s="58" t="inlineStr">
        <is>
          <t>Adjusted function points</t>
        </is>
      </c>
      <c r="C7" s="91">
        <f>'2 VAF'!$C$22</f>
        <v/>
      </c>
      <c r="D7" s="58" t="inlineStr">
        <is>
          <t>FP</t>
        </is>
      </c>
      <c r="E7" s="63" t="inlineStr">
        <is>
          <t>Sheet 2 — after the VAF</t>
        </is>
      </c>
    </row>
    <row r="8" ht="15" customHeight="1" s="50">
      <c r="B8" s="58" t="inlineStr">
        <is>
          <t>COCOMO 81 organic effort</t>
        </is>
      </c>
      <c r="C8" s="92">
        <f>'3 COCOMO'!$C$21</f>
        <v/>
      </c>
      <c r="D8" s="58" t="inlineStr">
        <is>
          <t>person-months</t>
        </is>
      </c>
      <c r="E8" s="63" t="inlineStr">
        <is>
          <t>Sheet 3</t>
        </is>
      </c>
    </row>
    <row r="9" ht="15" customHeight="1" s="50">
      <c r="B9" s="58" t="inlineStr">
        <is>
          <t>COCOMO 81 organic effort, in hours</t>
        </is>
      </c>
      <c r="C9" s="93">
        <f>'3 COCOMO'!$C$24</f>
        <v/>
      </c>
      <c r="D9" s="58" t="inlineStr">
        <is>
          <t>person-hours</t>
        </is>
      </c>
      <c r="E9" s="63" t="inlineStr">
        <is>
          <t>Sheet 3, at 152 h per person-month</t>
        </is>
      </c>
    </row>
    <row r="10" ht="15" customHeight="1" s="50">
      <c r="B10" s="58" t="inlineStr">
        <is>
          <t>PERT expected effort, full Must set</t>
        </is>
      </c>
      <c r="C10" s="92">
        <f>'4 PERT'!$F$31</f>
        <v/>
      </c>
      <c r="D10" s="58" t="inlineStr">
        <is>
          <t>person-hours</t>
        </is>
      </c>
      <c r="E10" s="63" t="inlineStr">
        <is>
          <t>Sheet 4 — 26 leaf tasks</t>
        </is>
      </c>
    </row>
    <row r="11" ht="15" customHeight="1" s="50">
      <c r="B11" s="58" t="inlineStr">
        <is>
          <t>PERT standard deviation</t>
        </is>
      </c>
      <c r="C11" s="69">
        <f>'4 PERT'!$G$31</f>
        <v/>
      </c>
      <c r="D11" s="58" t="inlineStr">
        <is>
          <t>person-hours</t>
        </is>
      </c>
      <c r="E11" s="63" t="inlineStr">
        <is>
          <t>Sheet 4 — root of summed variances</t>
        </is>
      </c>
    </row>
    <row r="12" ht="15" customHeight="1" s="50">
      <c r="B12" s="58" t="inlineStr">
        <is>
          <t>Available development hours</t>
        </is>
      </c>
      <c r="C12" s="91">
        <f>'3 COCOMO'!$C$25</f>
        <v/>
      </c>
      <c r="D12" s="58" t="inlineStr">
        <is>
          <t>person-hours</t>
        </is>
      </c>
      <c r="E12" s="63" t="inlineStr">
        <is>
          <t>Phases 2 to 5 of the 48-hour plan</t>
        </is>
      </c>
    </row>
    <row r="13" ht="15" customHeight="1" s="50">
      <c r="B13" s="58" t="inlineStr">
        <is>
          <t>COCOMO as a multiple of the development budget</t>
        </is>
      </c>
      <c r="C13" s="94">
        <f>'3 COCOMO'!$C$27</f>
        <v/>
      </c>
      <c r="D13" s="58" t="inlineStr">
        <is>
          <t>x</t>
        </is>
      </c>
      <c r="E13" s="63" t="n"/>
    </row>
    <row r="14" ht="15" customHeight="1" s="50">
      <c r="B14" s="58" t="inlineStr">
        <is>
          <t>COCOMO as a multiple of the whole 48-hour window</t>
        </is>
      </c>
      <c r="C14" s="95">
        <f>'3 COCOMO'!$C$28</f>
        <v/>
      </c>
      <c r="D14" s="58" t="inlineStr">
        <is>
          <t>x</t>
        </is>
      </c>
      <c r="E14" s="63" t="n"/>
    </row>
    <row r="15" ht="15" customHeight="1" s="50">
      <c r="B15" s="58" t="inlineStr">
        <is>
          <t>PERT probability the full Must set fits</t>
        </is>
      </c>
      <c r="C15" s="96">
        <f>'4 PERT'!$F$37</f>
        <v/>
      </c>
      <c r="D15" s="58" t="n"/>
      <c r="E15" s="63" t="inlineStr">
        <is>
          <t>Normal approximation over summed variances</t>
        </is>
      </c>
    </row>
    <row r="16" ht="15" customHeight="1" s="50">
      <c r="B16" s="58" t="inlineStr">
        <is>
          <t>PERT expected effort after the full de-scope ladder</t>
        </is>
      </c>
      <c r="C16" s="92">
        <f>'4 PERT'!$F$49</f>
        <v/>
      </c>
      <c r="D16" s="58" t="inlineStr">
        <is>
          <t>person-hours</t>
        </is>
      </c>
      <c r="E16" s="63" t="inlineStr">
        <is>
          <t>Sheet 4</t>
        </is>
      </c>
    </row>
    <row r="17" ht="15" customHeight="1" s="50">
      <c r="B17" s="58" t="inlineStr">
        <is>
          <t>PERT probability the de-scoped set fits</t>
        </is>
      </c>
      <c r="C17" s="97">
        <f>'4 PERT'!$F$52</f>
        <v/>
      </c>
      <c r="D17" s="58" t="n"/>
      <c r="E17" s="63" t="n"/>
    </row>
    <row r="19" ht="15" customHeight="1" s="50">
      <c r="B19" s="56" t="inlineStr">
        <is>
          <t>The reconciliation, stated</t>
        </is>
      </c>
    </row>
    <row r="20" ht="32.25" customHeight="1" s="50">
      <c r="B20" s="52" t="inlineStr">
        <is>
          <t>These sentences are built from the cells above. If an input changes they change with it, so the narrative cannot drift away from the arithmetic.</t>
        </is>
      </c>
    </row>
    <row r="22" ht="61.5" customHeight="1" s="50">
      <c r="B22" s="53">
        <f>"COCOMO 81 organic returned "&amp;TEXT('3 COCOMO'!$C$21,"0.0")&amp;" person-months, which is "&amp;TEXT($C$9,"#,##0")&amp;" person-hours against the "&amp;TEXT($C$12,"0")&amp;" development hours the examination actually contains — a factor of "&amp;TEXT($C$13,"0.0")&amp;", or "&amp;TEXT($C$14,"0.0")&amp;" against the whole 48-hour window. That is not a scheduling problem to be worked around. It is the model telling us that the system as scoped is not a 48-hour system."</f>
        <v/>
      </c>
    </row>
    <row r="24" ht="61.5" customHeight="1" s="50">
      <c r="B24" s="53">
        <f>"Neither the deadline nor the team size was negotiable, so scope was the only free variable. The PERT breakdown was built to find the waterline: 26 leaf tasks, each with an optimistic, most likely and pessimistic figure, giving an expected "&amp;TEXT($C$10,"0.0")&amp;" hours for the full Must set against "&amp;TEXT($C$12,"0")&amp;" available. The probability that the full Must set fits, on a normal approximation over the summed task variances, is "&amp;IF($C$15&lt;0.001,"below 0.1 per cent — effectively zero",TEXT($C$15,"0.0%"))&amp;"."</f>
        <v/>
      </c>
    </row>
    <row r="26" ht="61.5" customHeight="1" s="50">
      <c r="B26" s="53">
        <f>"The de-scope ladder in section 7 was therefore costed rather than merely ordered. Executing it in full — admin clinician management, PDF export, split and merge, the predicted-difficulty band, the model card page and rate limiting — recovers enough to bring expected effort to "&amp;TEXT($C$16,"0.0")&amp;" hours, and the probability of fitting to "&amp;TEXT($C$17,"0.0%")&amp;". Even fully de-scoped, the Must set does not comfortably fit."</f>
        <v/>
      </c>
    </row>
    <row r="28" ht="15" customHeight="1" s="50">
      <c r="B28" s="56" t="inlineStr">
        <is>
          <t>What follows from that — the three decisions the estimate actually drove</t>
        </is>
      </c>
    </row>
    <row r="29" ht="15" customHeight="1" s="50">
      <c r="B29" s="64" t="inlineStr">
        <is>
          <t>1. The five never-cut items were fixed before the ladder was costed, not after.</t>
        </is>
      </c>
    </row>
    <row r="30" ht="51.75" customHeight="1" s="50">
      <c r="B30" s="53" t="inlineStr">
        <is>
          <t>The OOD guard, the approval gate, the audit log, the intended-use banner and montage validation carry no ladder rung and never will. Deciding that in advance is what stops a schedule overrun at hour 31 from quietly becoming an ethical one. The estimate is allowed to change what gets built; it is not allowed to change what makes the thing defensible.</t>
        </is>
      </c>
    </row>
    <row r="32" ht="15" customHeight="1" s="50">
      <c r="B32" s="64" t="inlineStr">
        <is>
          <t>2. The waterline runs through the documentation buffer, not through the never-cut set.</t>
        </is>
      </c>
    </row>
    <row r="33" ht="51.75" customHeight="1" s="50">
      <c r="B33" s="53" t="inlineStr">
        <is>
          <t>Because the fully de-scoped set still exceeds the development envelope, the shortfall is absorbed from the 14 hours reserved for documentation and contingency rather than by cutting further into function. That is a real cost and is stated as one: the contingency is smaller than it looks on the phase plan.</t>
        </is>
      </c>
    </row>
    <row r="35" ht="15" customHeight="1" s="50">
      <c r="B35" s="64" t="inlineStr">
        <is>
          <t>3. Estimate-to-actual is logged per phase, not reconstructed at the end.</t>
        </is>
      </c>
    </row>
    <row r="36" ht="51.75" customHeight="1" s="50">
      <c r="B36" s="53" t="inlineStr">
        <is>
          <t>Comparing the PERT figure against hours actually spent is a monitoring-and-controlling activity, and it is only possible if the actuals are recorded as they happen. The comparison itself belongs in the report — including, and especially, wherever the estimate turns out to have been wrong.</t>
        </is>
      </c>
    </row>
    <row r="38" ht="15" customHeight="1" s="50">
      <c r="B38" s="56" t="inlineStr">
        <is>
          <t>Two honesty notes to carry into the write-up</t>
        </is>
      </c>
    </row>
    <row r="39" ht="51.75" customHeight="1" s="50">
      <c r="B39" s="52" t="inlineStr">
        <is>
          <t>The plan of record's draft sentence says the overrun is 'roughly twenty times'. The arithmetic here says otherwise. That sentence was written before anything was counted and must be replaced with whatever this workbook produces on the day. A reconciliation paragraph whose multiplier does not match its own appendix is worse than no paragraph.</t>
        </is>
      </c>
    </row>
    <row r="41" ht="51.75" customHeight="1" s="50">
      <c r="B41" s="52" t="inlineStr">
        <is>
          <t>The backfiring ratio is doing more work than any other single number in this chain. Function points are a measure of delivered function; source lines are a measure of typing. The published tables converting between them are approximations with wide dispersion, and the conversion is applied before an exponent, so its error is amplified. Say so in the report, and let the PERT range — which never touches source lines at all — be the estimate that is actually defended.</t>
        </is>
      </c>
    </row>
  </sheetData>
  <mergeCells count="8">
    <mergeCell ref="B26:E26"/>
    <mergeCell ref="B41:E41"/>
    <mergeCell ref="B22:E22"/>
    <mergeCell ref="B30:E30"/>
    <mergeCell ref="B33:E33"/>
    <mergeCell ref="B39:E39"/>
    <mergeCell ref="B24:E24"/>
    <mergeCell ref="B36:E3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2026-08-13T12:20:12Z</dcterms:created>
  <dcterms:modified xmlns:dcterms="http://purl.org/dc/terms/" xmlns:xsi="http://www.w3.org/2001/XMLSchema-instance" xsi:type="dcterms:W3CDTF">2026-08-15T17:12:24Z</dcterms:modified>
  <cp:revision>0</cp:revision>
</cp:coreProperties>
</file>